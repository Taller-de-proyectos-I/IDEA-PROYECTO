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CER\Desktop\IDEA-PROYECTO\"/>
    </mc:Choice>
  </mc:AlternateContent>
  <xr:revisionPtr revIDLastSave="0" documentId="13_ncr:1_{1EA5EA38-1FF2-4922-B283-80E448E7C4A1}" xr6:coauthVersionLast="47" xr6:coauthVersionMax="47" xr10:uidLastSave="{00000000-0000-0000-0000-000000000000}"/>
  <bookViews>
    <workbookView xWindow="-120" yWindow="-120" windowWidth="38640" windowHeight="21840" tabRatio="500" activeTab="3" xr2:uid="{00000000-000D-0000-FFFF-FFFF00000000}"/>
  </bookViews>
  <sheets>
    <sheet name="Sprint 1" sheetId="1" r:id="rId1"/>
    <sheet name="Sprint 2" sheetId="7" r:id="rId2"/>
    <sheet name="Sprint 3" sheetId="8" r:id="rId3"/>
    <sheet name="Sprint 4" sheetId="9" r:id="rId4"/>
    <sheet name="Sprint 5" sheetId="10" r:id="rId5"/>
    <sheet name="Post-It" sheetId="6" r:id="rId6"/>
    <sheet name="a de Gantt en blanco y burndown" sheetId="2" r:id="rId7"/>
    <sheet name="Backlog de lanzamientos" sheetId="3" r:id="rId8"/>
    <sheet name="Historias de usuario o tareas" sheetId="4" r:id="rId9"/>
  </sheets>
  <externalReferences>
    <externalReference r:id="rId10"/>
    <externalReference r:id="rId11"/>
  </externalReferences>
  <definedNames>
    <definedName name="_xlnm.Print_Area" localSheetId="6">'a de Gantt en blanco y burndown'!$B$1:$BV$42</definedName>
    <definedName name="_xlnm.Print_Area" localSheetId="7">'Backlog de lanzamientos'!$B$1:$J$39</definedName>
    <definedName name="_xlnm.Print_Area" localSheetId="8">'Historias de usuario o tareas'!$B$1:$E$39</definedName>
    <definedName name="_xlnm.Print_Area" localSheetId="0">'Sprint 1'!$B$1:$BV$48</definedName>
    <definedName name="_xlnm.Print_Area" localSheetId="1">'Sprint 2'!$B$1:$BV$48</definedName>
    <definedName name="_xlnm.Print_Area" localSheetId="2">'Sprint 3'!$B$1:$BV$42</definedName>
    <definedName name="_xlnm.Print_Area" localSheetId="3">'Sprint 4'!$B$1:$BV$50</definedName>
    <definedName name="_xlnm.Print_Area" localSheetId="4">'Sprint 5'!$B$1:$BV$34</definedName>
    <definedName name="Interval">'[1]Office Work Schedule'!#REF!</definedName>
    <definedName name="ScheduleStart">'[1]Office Work Schedule'!#REF!</definedName>
    <definedName name="Type">'[2]Maintenance Work Order'!#REF!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0" l="1"/>
  <c r="E27" i="10"/>
  <c r="F27" i="10"/>
  <c r="G27" i="10"/>
  <c r="L23" i="10"/>
  <c r="L22" i="10"/>
  <c r="F22" i="10"/>
  <c r="F18" i="10"/>
  <c r="F14" i="10"/>
  <c r="F10" i="10"/>
  <c r="L10" i="10"/>
  <c r="F10" i="9"/>
  <c r="E10" i="10"/>
  <c r="E22" i="10"/>
  <c r="E18" i="10"/>
  <c r="E14" i="10"/>
  <c r="K10" i="10"/>
  <c r="E10" i="9"/>
  <c r="BV30" i="10"/>
  <c r="M29" i="10"/>
  <c r="L25" i="10"/>
  <c r="G25" i="10"/>
  <c r="L24" i="10"/>
  <c r="G24" i="10"/>
  <c r="G23" i="10"/>
  <c r="K22" i="10"/>
  <c r="L21" i="10"/>
  <c r="G21" i="10"/>
  <c r="L20" i="10"/>
  <c r="G20" i="10"/>
  <c r="L19" i="10"/>
  <c r="G19" i="10"/>
  <c r="K18" i="10"/>
  <c r="L18" i="10"/>
  <c r="L17" i="10"/>
  <c r="G17" i="10"/>
  <c r="L16" i="10"/>
  <c r="G16" i="10"/>
  <c r="L15" i="10"/>
  <c r="G15" i="10"/>
  <c r="K14" i="10"/>
  <c r="L14" i="10"/>
  <c r="L13" i="10"/>
  <c r="G13" i="10"/>
  <c r="L12" i="10"/>
  <c r="G12" i="10"/>
  <c r="L11" i="10"/>
  <c r="G11" i="10"/>
  <c r="G10" i="10" s="1"/>
  <c r="G39" i="9"/>
  <c r="G36" i="9"/>
  <c r="G37" i="9"/>
  <c r="G35" i="9"/>
  <c r="G34" i="9" s="1"/>
  <c r="G32" i="9"/>
  <c r="G33" i="9"/>
  <c r="G31" i="9"/>
  <c r="G30" i="9" s="1"/>
  <c r="G27" i="9"/>
  <c r="L39" i="9"/>
  <c r="E26" i="9"/>
  <c r="E30" i="9"/>
  <c r="E34" i="9"/>
  <c r="E38" i="9"/>
  <c r="L29" i="9"/>
  <c r="L35" i="9"/>
  <c r="L37" i="9"/>
  <c r="L36" i="9"/>
  <c r="L33" i="9"/>
  <c r="L32" i="9"/>
  <c r="L31" i="9"/>
  <c r="K34" i="9"/>
  <c r="F34" i="9"/>
  <c r="K30" i="9"/>
  <c r="F30" i="9"/>
  <c r="BV46" i="9"/>
  <c r="F43" i="9"/>
  <c r="E43" i="9"/>
  <c r="M45" i="9" s="1"/>
  <c r="L41" i="9"/>
  <c r="G41" i="9"/>
  <c r="L40" i="9"/>
  <c r="G40" i="9"/>
  <c r="K38" i="9"/>
  <c r="F38" i="9"/>
  <c r="G29" i="9"/>
  <c r="L28" i="9"/>
  <c r="G28" i="9"/>
  <c r="L27" i="9"/>
  <c r="K26" i="9"/>
  <c r="F26" i="9"/>
  <c r="L25" i="9"/>
  <c r="G25" i="9"/>
  <c r="L24" i="9"/>
  <c r="G24" i="9"/>
  <c r="L23" i="9"/>
  <c r="G23" i="9"/>
  <c r="K22" i="9"/>
  <c r="F22" i="9"/>
  <c r="E22" i="9"/>
  <c r="L21" i="9"/>
  <c r="G21" i="9"/>
  <c r="L20" i="9"/>
  <c r="G20" i="9"/>
  <c r="L19" i="9"/>
  <c r="G19" i="9"/>
  <c r="K18" i="9"/>
  <c r="F18" i="9"/>
  <c r="E18" i="9"/>
  <c r="L17" i="9"/>
  <c r="G17" i="9"/>
  <c r="L16" i="9"/>
  <c r="G16" i="9"/>
  <c r="L15" i="9"/>
  <c r="G15" i="9"/>
  <c r="K14" i="9"/>
  <c r="F14" i="9"/>
  <c r="E14" i="9"/>
  <c r="L13" i="9"/>
  <c r="G13" i="9"/>
  <c r="L12" i="9"/>
  <c r="G12" i="9"/>
  <c r="L11" i="9"/>
  <c r="G11" i="9"/>
  <c r="K10" i="9"/>
  <c r="K10" i="1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K10" i="8"/>
  <c r="E10" i="8"/>
  <c r="BV38" i="8"/>
  <c r="F35" i="8"/>
  <c r="E35" i="8"/>
  <c r="M37" i="8" s="1"/>
  <c r="G33" i="8"/>
  <c r="G32" i="8"/>
  <c r="G31" i="8"/>
  <c r="K30" i="8"/>
  <c r="F30" i="8"/>
  <c r="E30" i="8"/>
  <c r="G29" i="8"/>
  <c r="G28" i="8"/>
  <c r="G27" i="8"/>
  <c r="K26" i="8"/>
  <c r="F26" i="8"/>
  <c r="E26" i="8"/>
  <c r="G25" i="8"/>
  <c r="G24" i="8"/>
  <c r="G23" i="8"/>
  <c r="K22" i="8"/>
  <c r="F22" i="8"/>
  <c r="E22" i="8"/>
  <c r="G21" i="8"/>
  <c r="G20" i="8"/>
  <c r="G19" i="8"/>
  <c r="K18" i="8"/>
  <c r="F18" i="8"/>
  <c r="E18" i="8"/>
  <c r="G17" i="8"/>
  <c r="G16" i="8"/>
  <c r="G15" i="8"/>
  <c r="K14" i="8"/>
  <c r="F14" i="8"/>
  <c r="E14" i="8"/>
  <c r="G13" i="8"/>
  <c r="G12" i="8"/>
  <c r="G11" i="8"/>
  <c r="F10" i="8"/>
  <c r="BV44" i="7"/>
  <c r="F41" i="7"/>
  <c r="E41" i="7"/>
  <c r="M42" i="7" s="1"/>
  <c r="L39" i="7"/>
  <c r="G39" i="7"/>
  <c r="L38" i="7"/>
  <c r="G38" i="7"/>
  <c r="L37" i="7"/>
  <c r="G37" i="7"/>
  <c r="L36" i="7"/>
  <c r="G36" i="7"/>
  <c r="K35" i="7"/>
  <c r="F35" i="7"/>
  <c r="E35" i="7"/>
  <c r="L34" i="7"/>
  <c r="G34" i="7"/>
  <c r="L33" i="7"/>
  <c r="G33" i="7"/>
  <c r="L32" i="7"/>
  <c r="G32" i="7"/>
  <c r="L31" i="7"/>
  <c r="G31" i="7"/>
  <c r="K30" i="7"/>
  <c r="F30" i="7"/>
  <c r="L30" i="7" s="1"/>
  <c r="E30" i="7"/>
  <c r="L29" i="7"/>
  <c r="G29" i="7"/>
  <c r="L28" i="7"/>
  <c r="G28" i="7"/>
  <c r="L27" i="7"/>
  <c r="G27" i="7"/>
  <c r="L26" i="7"/>
  <c r="G26" i="7"/>
  <c r="K25" i="7"/>
  <c r="F25" i="7"/>
  <c r="E25" i="7"/>
  <c r="L24" i="7"/>
  <c r="G24" i="7"/>
  <c r="L23" i="7"/>
  <c r="G23" i="7"/>
  <c r="L22" i="7"/>
  <c r="G22" i="7"/>
  <c r="L21" i="7"/>
  <c r="G21" i="7"/>
  <c r="K20" i="7"/>
  <c r="F20" i="7"/>
  <c r="E20" i="7"/>
  <c r="L19" i="7"/>
  <c r="G19" i="7"/>
  <c r="L18" i="7"/>
  <c r="G18" i="7"/>
  <c r="L17" i="7"/>
  <c r="G17" i="7"/>
  <c r="L16" i="7"/>
  <c r="G16" i="7"/>
  <c r="K15" i="7"/>
  <c r="F15" i="7"/>
  <c r="E15" i="7"/>
  <c r="L14" i="7"/>
  <c r="G14" i="7"/>
  <c r="L13" i="7"/>
  <c r="G13" i="7"/>
  <c r="L12" i="7"/>
  <c r="G12" i="7"/>
  <c r="L11" i="7"/>
  <c r="G11" i="7"/>
  <c r="K10" i="7"/>
  <c r="F10" i="7"/>
  <c r="E10" i="7"/>
  <c r="F10" i="1"/>
  <c r="F15" i="1"/>
  <c r="F20" i="1"/>
  <c r="F25" i="1"/>
  <c r="F35" i="1"/>
  <c r="L35" i="1" s="1"/>
  <c r="F30" i="1"/>
  <c r="M42" i="1"/>
  <c r="L11" i="1"/>
  <c r="L12" i="1"/>
  <c r="L14" i="1"/>
  <c r="L16" i="1"/>
  <c r="L17" i="1"/>
  <c r="L18" i="1"/>
  <c r="L19" i="1"/>
  <c r="L21" i="1"/>
  <c r="L22" i="1"/>
  <c r="L23" i="1"/>
  <c r="L24" i="1"/>
  <c r="L26" i="1"/>
  <c r="L27" i="1"/>
  <c r="L28" i="1"/>
  <c r="L29" i="1"/>
  <c r="L31" i="1"/>
  <c r="L32" i="1"/>
  <c r="L33" i="1"/>
  <c r="L34" i="1"/>
  <c r="L36" i="1"/>
  <c r="L37" i="1"/>
  <c r="L38" i="1"/>
  <c r="L39" i="1"/>
  <c r="K35" i="1"/>
  <c r="K30" i="1"/>
  <c r="K25" i="1"/>
  <c r="K20" i="1"/>
  <c r="K15" i="1"/>
  <c r="F41" i="1"/>
  <c r="E41" i="1"/>
  <c r="M43" i="1" s="1"/>
  <c r="M45" i="1" s="1"/>
  <c r="N43" i="1" s="1"/>
  <c r="L15" i="1"/>
  <c r="L13" i="1"/>
  <c r="G33" i="1"/>
  <c r="G31" i="1"/>
  <c r="G39" i="1"/>
  <c r="G38" i="1"/>
  <c r="G37" i="1"/>
  <c r="G36" i="1"/>
  <c r="G32" i="1"/>
  <c r="G34" i="1"/>
  <c r="G26" i="1"/>
  <c r="L10" i="1"/>
  <c r="E30" i="1"/>
  <c r="E25" i="1"/>
  <c r="E20" i="1"/>
  <c r="E15" i="1"/>
  <c r="E10" i="1"/>
  <c r="E35" i="1"/>
  <c r="G29" i="1"/>
  <c r="BV38" i="2"/>
  <c r="F35" i="2"/>
  <c r="E35" i="2"/>
  <c r="M37" i="2" s="1"/>
  <c r="L33" i="2"/>
  <c r="K33" i="2"/>
  <c r="G33" i="2"/>
  <c r="L32" i="2"/>
  <c r="K32" i="2"/>
  <c r="G32" i="2"/>
  <c r="L31" i="2"/>
  <c r="K31" i="2"/>
  <c r="G31" i="2"/>
  <c r="L30" i="2"/>
  <c r="K30" i="2"/>
  <c r="G30" i="2"/>
  <c r="G29" i="2" s="1"/>
  <c r="F29" i="2"/>
  <c r="E29" i="2"/>
  <c r="L28" i="2"/>
  <c r="K28" i="2"/>
  <c r="G28" i="2"/>
  <c r="L27" i="2"/>
  <c r="K27" i="2"/>
  <c r="G27" i="2"/>
  <c r="L26" i="2"/>
  <c r="K26" i="2"/>
  <c r="G26" i="2"/>
  <c r="L25" i="2"/>
  <c r="K25" i="2"/>
  <c r="G25" i="2"/>
  <c r="L24" i="2"/>
  <c r="K24" i="2"/>
  <c r="G24" i="2"/>
  <c r="L23" i="2"/>
  <c r="K23" i="2"/>
  <c r="G23" i="2"/>
  <c r="F22" i="2"/>
  <c r="E22" i="2"/>
  <c r="L22" i="2" s="1"/>
  <c r="L21" i="2"/>
  <c r="K21" i="2"/>
  <c r="G21" i="2"/>
  <c r="L20" i="2"/>
  <c r="K20" i="2"/>
  <c r="G20" i="2"/>
  <c r="G17" i="2" s="1"/>
  <c r="L19" i="2"/>
  <c r="K19" i="2"/>
  <c r="G19" i="2"/>
  <c r="L18" i="2"/>
  <c r="K18" i="2"/>
  <c r="G18" i="2"/>
  <c r="F17" i="2"/>
  <c r="E17" i="2"/>
  <c r="L17" i="2" s="1"/>
  <c r="L16" i="2"/>
  <c r="K16" i="2"/>
  <c r="G16" i="2"/>
  <c r="L15" i="2"/>
  <c r="K15" i="2"/>
  <c r="G15" i="2"/>
  <c r="L14" i="2"/>
  <c r="K14" i="2"/>
  <c r="G14" i="2"/>
  <c r="L13" i="2"/>
  <c r="K13" i="2"/>
  <c r="G13" i="2"/>
  <c r="L12" i="2"/>
  <c r="K12" i="2"/>
  <c r="G12" i="2"/>
  <c r="L11" i="2"/>
  <c r="K11" i="2"/>
  <c r="G11" i="2"/>
  <c r="L10" i="2"/>
  <c r="K10" i="2"/>
  <c r="G10" i="2"/>
  <c r="F9" i="2"/>
  <c r="E9" i="2"/>
  <c r="BV44" i="1"/>
  <c r="G28" i="1"/>
  <c r="G27" i="1"/>
  <c r="G24" i="1"/>
  <c r="G23" i="1"/>
  <c r="G22" i="1"/>
  <c r="G21" i="1"/>
  <c r="G19" i="1"/>
  <c r="G18" i="1"/>
  <c r="G17" i="1"/>
  <c r="G16" i="1"/>
  <c r="G14" i="1"/>
  <c r="G13" i="1"/>
  <c r="G12" i="1"/>
  <c r="G11" i="1"/>
  <c r="G14" i="10" l="1"/>
  <c r="M28" i="10"/>
  <c r="G22" i="10"/>
  <c r="G18" i="10"/>
  <c r="M31" i="10"/>
  <c r="L34" i="9"/>
  <c r="L30" i="9"/>
  <c r="L38" i="9"/>
  <c r="L10" i="9"/>
  <c r="L18" i="9"/>
  <c r="G26" i="9"/>
  <c r="G14" i="9"/>
  <c r="L14" i="9"/>
  <c r="G38" i="9"/>
  <c r="G43" i="9"/>
  <c r="L26" i="9"/>
  <c r="L22" i="9"/>
  <c r="G22" i="9"/>
  <c r="G18" i="9"/>
  <c r="M44" i="9"/>
  <c r="M47" i="9"/>
  <c r="G10" i="9"/>
  <c r="I43" i="9"/>
  <c r="L35" i="7"/>
  <c r="L25" i="7"/>
  <c r="G25" i="7"/>
  <c r="G15" i="7"/>
  <c r="L15" i="7"/>
  <c r="L10" i="7"/>
  <c r="G41" i="7"/>
  <c r="M43" i="7"/>
  <c r="M45" i="7" s="1"/>
  <c r="G20" i="7"/>
  <c r="I41" i="7"/>
  <c r="N42" i="7" s="1"/>
  <c r="O42" i="7" s="1"/>
  <c r="P42" i="7" s="1"/>
  <c r="Q42" i="7" s="1"/>
  <c r="R42" i="7" s="1"/>
  <c r="S42" i="7" s="1"/>
  <c r="G10" i="7"/>
  <c r="L20" i="7"/>
  <c r="G35" i="7"/>
  <c r="G30" i="7"/>
  <c r="L10" i="8"/>
  <c r="G22" i="8"/>
  <c r="G14" i="8"/>
  <c r="G18" i="8"/>
  <c r="G35" i="8"/>
  <c r="G30" i="8"/>
  <c r="G10" i="8"/>
  <c r="I35" i="8"/>
  <c r="M36" i="8"/>
  <c r="G26" i="8"/>
  <c r="M39" i="8"/>
  <c r="L30" i="1"/>
  <c r="G20" i="1"/>
  <c r="L9" i="2"/>
  <c r="G9" i="2"/>
  <c r="L29" i="2"/>
  <c r="M36" i="2"/>
  <c r="G35" i="2"/>
  <c r="G15" i="1"/>
  <c r="G22" i="2"/>
  <c r="G41" i="1"/>
  <c r="I41" i="1"/>
  <c r="N42" i="1" s="1"/>
  <c r="O42" i="1" s="1"/>
  <c r="P42" i="1" s="1"/>
  <c r="Q42" i="1" s="1"/>
  <c r="R42" i="1" s="1"/>
  <c r="S42" i="1" s="1"/>
  <c r="N45" i="1"/>
  <c r="O43" i="1" s="1"/>
  <c r="O45" i="1" s="1"/>
  <c r="P43" i="1" s="1"/>
  <c r="G25" i="1"/>
  <c r="G10" i="1"/>
  <c r="G35" i="1"/>
  <c r="G30" i="1"/>
  <c r="L20" i="1"/>
  <c r="M39" i="2"/>
  <c r="I35" i="2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AO36" i="2" s="1"/>
  <c r="AP36" i="2" s="1"/>
  <c r="AQ36" i="2" s="1"/>
  <c r="AR36" i="2" s="1"/>
  <c r="AS36" i="2" s="1"/>
  <c r="AT36" i="2" s="1"/>
  <c r="AU36" i="2" s="1"/>
  <c r="AV36" i="2" s="1"/>
  <c r="AW36" i="2" s="1"/>
  <c r="AX36" i="2" s="1"/>
  <c r="AY36" i="2" s="1"/>
  <c r="AZ36" i="2" s="1"/>
  <c r="BA36" i="2" s="1"/>
  <c r="BB36" i="2" s="1"/>
  <c r="BC36" i="2" s="1"/>
  <c r="BD36" i="2" s="1"/>
  <c r="BE36" i="2" s="1"/>
  <c r="BF36" i="2" s="1"/>
  <c r="BG36" i="2" s="1"/>
  <c r="BH36" i="2" s="1"/>
  <c r="BI36" i="2" s="1"/>
  <c r="BJ36" i="2" s="1"/>
  <c r="BK36" i="2" s="1"/>
  <c r="BL36" i="2" s="1"/>
  <c r="BM36" i="2" s="1"/>
  <c r="BN36" i="2" s="1"/>
  <c r="BO36" i="2" s="1"/>
  <c r="BP36" i="2" s="1"/>
  <c r="BQ36" i="2" s="1"/>
  <c r="BR36" i="2" s="1"/>
  <c r="BS36" i="2" s="1"/>
  <c r="BT36" i="2" s="1"/>
  <c r="N28" i="10" l="1"/>
  <c r="O28" i="10" s="1"/>
  <c r="P28" i="10" s="1"/>
  <c r="Q28" i="10" s="1"/>
  <c r="N29" i="10"/>
  <c r="N44" i="9"/>
  <c r="O44" i="9" s="1"/>
  <c r="P44" i="9" s="1"/>
  <c r="Q44" i="9" s="1"/>
  <c r="R44" i="9" s="1"/>
  <c r="S44" i="9" s="1"/>
  <c r="N45" i="9"/>
  <c r="N36" i="8"/>
  <c r="O36" i="8" s="1"/>
  <c r="P36" i="8" s="1"/>
  <c r="Q36" i="8" s="1"/>
  <c r="R36" i="8" s="1"/>
  <c r="S36" i="8" s="1"/>
  <c r="N37" i="8"/>
  <c r="N43" i="7"/>
  <c r="N37" i="2"/>
  <c r="N31" i="10" l="1"/>
  <c r="N47" i="9"/>
  <c r="N39" i="8"/>
  <c r="N45" i="7"/>
  <c r="N39" i="2"/>
  <c r="O29" i="10" l="1"/>
  <c r="O45" i="9"/>
  <c r="O37" i="8"/>
  <c r="O43" i="7"/>
  <c r="O37" i="2"/>
  <c r="O31" i="10" l="1"/>
  <c r="O47" i="9"/>
  <c r="O39" i="8"/>
  <c r="O45" i="7"/>
  <c r="O39" i="2"/>
  <c r="P29" i="10" l="1"/>
  <c r="P45" i="9"/>
  <c r="P37" i="8"/>
  <c r="P43" i="7"/>
  <c r="P37" i="2"/>
  <c r="P31" i="10" l="1"/>
  <c r="P47" i="9"/>
  <c r="Q45" i="9" s="1"/>
  <c r="P39" i="8"/>
  <c r="P45" i="7"/>
  <c r="P39" i="2"/>
  <c r="Q29" i="10" l="1"/>
  <c r="Q37" i="8"/>
  <c r="Q39" i="8" s="1"/>
  <c r="R37" i="8" s="1"/>
  <c r="R39" i="8" s="1"/>
  <c r="S37" i="8" s="1"/>
  <c r="Q43" i="7"/>
  <c r="Q45" i="7" s="1"/>
  <c r="R43" i="7" s="1"/>
  <c r="R45" i="7" s="1"/>
  <c r="S43" i="7" s="1"/>
  <c r="Q37" i="2"/>
  <c r="Q31" i="10" l="1"/>
  <c r="Q47" i="9"/>
  <c r="S39" i="8"/>
  <c r="BV39" i="8" s="1"/>
  <c r="BV37" i="8"/>
  <c r="S45" i="7"/>
  <c r="BV45" i="7" s="1"/>
  <c r="BV43" i="7"/>
  <c r="Q39" i="2"/>
  <c r="R45" i="9" l="1"/>
  <c r="R47" i="9" s="1"/>
  <c r="S45" i="9" s="1"/>
  <c r="R37" i="2"/>
  <c r="R39" i="2" s="1"/>
  <c r="S37" i="2" s="1"/>
  <c r="S39" i="2" s="1"/>
  <c r="T37" i="2" s="1"/>
  <c r="T39" i="2" s="1"/>
  <c r="U37" i="2" s="1"/>
  <c r="U39" i="2" s="1"/>
  <c r="V37" i="2" s="1"/>
  <c r="V39" i="2" s="1"/>
  <c r="W37" i="2" s="1"/>
  <c r="W39" i="2" s="1"/>
  <c r="X37" i="2" s="1"/>
  <c r="X39" i="2" s="1"/>
  <c r="Y37" i="2" s="1"/>
  <c r="Y39" i="2" s="1"/>
  <c r="Z37" i="2" s="1"/>
  <c r="Z39" i="2" s="1"/>
  <c r="AA37" i="2" s="1"/>
  <c r="AA39" i="2" s="1"/>
  <c r="AB37" i="2" s="1"/>
  <c r="AB39" i="2" s="1"/>
  <c r="AC37" i="2" s="1"/>
  <c r="AC39" i="2" s="1"/>
  <c r="AD37" i="2" s="1"/>
  <c r="AD39" i="2" s="1"/>
  <c r="AE37" i="2" s="1"/>
  <c r="AE39" i="2" s="1"/>
  <c r="AF37" i="2" s="1"/>
  <c r="AF39" i="2" s="1"/>
  <c r="AG37" i="2" s="1"/>
  <c r="AG39" i="2" s="1"/>
  <c r="AH37" i="2" s="1"/>
  <c r="AH39" i="2" s="1"/>
  <c r="AI37" i="2" s="1"/>
  <c r="AI39" i="2" s="1"/>
  <c r="AJ37" i="2" s="1"/>
  <c r="AJ39" i="2" s="1"/>
  <c r="AK37" i="2" s="1"/>
  <c r="AK39" i="2" s="1"/>
  <c r="AL37" i="2" s="1"/>
  <c r="AL39" i="2" s="1"/>
  <c r="AM37" i="2" s="1"/>
  <c r="AM39" i="2" s="1"/>
  <c r="AN37" i="2" s="1"/>
  <c r="AN39" i="2" s="1"/>
  <c r="AO37" i="2" s="1"/>
  <c r="AO39" i="2" s="1"/>
  <c r="AP37" i="2" s="1"/>
  <c r="AP39" i="2" s="1"/>
  <c r="AQ37" i="2" s="1"/>
  <c r="AQ39" i="2" s="1"/>
  <c r="AR37" i="2" s="1"/>
  <c r="AR39" i="2" s="1"/>
  <c r="AS37" i="2" s="1"/>
  <c r="AS39" i="2" s="1"/>
  <c r="AT37" i="2" s="1"/>
  <c r="AT39" i="2" s="1"/>
  <c r="AU37" i="2" s="1"/>
  <c r="AU39" i="2" s="1"/>
  <c r="AV37" i="2" s="1"/>
  <c r="AV39" i="2" s="1"/>
  <c r="AW37" i="2" s="1"/>
  <c r="AW39" i="2" s="1"/>
  <c r="AX37" i="2" s="1"/>
  <c r="AX39" i="2" s="1"/>
  <c r="AY37" i="2" s="1"/>
  <c r="AY39" i="2" s="1"/>
  <c r="AZ37" i="2" s="1"/>
  <c r="AZ39" i="2" s="1"/>
  <c r="BA37" i="2" s="1"/>
  <c r="BA39" i="2" s="1"/>
  <c r="BB37" i="2" s="1"/>
  <c r="BB39" i="2" s="1"/>
  <c r="BC37" i="2" s="1"/>
  <c r="BC39" i="2" s="1"/>
  <c r="BD37" i="2" s="1"/>
  <c r="BD39" i="2" s="1"/>
  <c r="BE37" i="2" s="1"/>
  <c r="BE39" i="2" s="1"/>
  <c r="BF37" i="2" s="1"/>
  <c r="BF39" i="2" s="1"/>
  <c r="BG37" i="2" s="1"/>
  <c r="BG39" i="2" s="1"/>
  <c r="BH37" i="2" s="1"/>
  <c r="BH39" i="2" s="1"/>
  <c r="BI37" i="2" s="1"/>
  <c r="BI39" i="2" s="1"/>
  <c r="BJ37" i="2" s="1"/>
  <c r="BJ39" i="2" s="1"/>
  <c r="BK37" i="2" s="1"/>
  <c r="BK39" i="2" s="1"/>
  <c r="BL37" i="2" s="1"/>
  <c r="BL39" i="2" s="1"/>
  <c r="BM37" i="2" s="1"/>
  <c r="BM39" i="2" s="1"/>
  <c r="BN37" i="2" s="1"/>
  <c r="BN39" i="2" s="1"/>
  <c r="BO37" i="2" s="1"/>
  <c r="BO39" i="2" s="1"/>
  <c r="BP37" i="2" s="1"/>
  <c r="BP39" i="2" s="1"/>
  <c r="BQ37" i="2" s="1"/>
  <c r="BQ39" i="2" s="1"/>
  <c r="BR37" i="2" s="1"/>
  <c r="BR39" i="2" s="1"/>
  <c r="BS37" i="2" s="1"/>
  <c r="BS39" i="2" s="1"/>
  <c r="BT37" i="2" s="1"/>
  <c r="BV31" i="10" l="1"/>
  <c r="BV29" i="10"/>
  <c r="S47" i="9"/>
  <c r="BV47" i="9" s="1"/>
  <c r="BV45" i="9"/>
  <c r="BT39" i="2"/>
  <c r="BV39" i="2" s="1"/>
  <c r="BV37" i="2"/>
  <c r="P45" i="1" l="1"/>
  <c r="Q43" i="1" s="1"/>
  <c r="Q45" i="1" l="1"/>
  <c r="R43" i="1" s="1"/>
  <c r="R45" i="1" l="1"/>
  <c r="S43" i="1" s="1"/>
  <c r="L25" i="1"/>
  <c r="S45" i="1" l="1"/>
  <c r="BV45" i="1" s="1"/>
  <c r="BV43" i="1"/>
</calcChain>
</file>

<file path=xl/sharedStrings.xml><?xml version="1.0" encoding="utf-8"?>
<sst xmlns="http://schemas.openxmlformats.org/spreadsheetml/2006/main" count="970" uniqueCount="243">
  <si>
    <t>DIAGRAMA DE GANTT Y BURNDOWN</t>
  </si>
  <si>
    <t>SPRINTS</t>
  </si>
  <si>
    <t>SPRINT 1</t>
  </si>
  <si>
    <t>SPRINT 2</t>
  </si>
  <si>
    <t>SPRINT 3</t>
  </si>
  <si>
    <t>SPRINT 4</t>
  </si>
  <si>
    <t>SPRINT 5</t>
  </si>
  <si>
    <t>ESTRUCTURA DE DESGLOSE DEL TRABAJO</t>
  </si>
  <si>
    <t>TÍTULO DE LA TAREA</t>
  </si>
  <si>
    <t>PROPIETARIO DE LA TAREA</t>
  </si>
  <si>
    <t>CANTIDAD DE TRABAJO EN HORAS</t>
  </si>
  <si>
    <t>CARRERA</t>
  </si>
  <si>
    <t>FECHA DE INICIO</t>
  </si>
  <si>
    <t>FECHA DE VENCIMIENTO</t>
  </si>
  <si>
    <t>DURACIÓN</t>
  </si>
  <si>
    <t>PCT DE TAREA COMPLETADA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</si>
  <si>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</si>
  <si>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</si>
  <si>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</si>
  <si>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</si>
  <si>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</si>
  <si>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</si>
  <si>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</si>
  <si>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</si>
  <si>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</si>
  <si>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</si>
  <si>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</si>
  <si>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</si>
  <si>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ESTIMAR</t>
  </si>
  <si>
    <t>COMPLETADO</t>
  </si>
  <si>
    <t>RESTANTE</t>
  </si>
  <si>
    <t>M</t>
  </si>
  <si>
    <t>T</t>
  </si>
  <si>
    <t>W</t>
  </si>
  <si>
    <t>R</t>
  </si>
  <si>
    <t>F</t>
  </si>
  <si>
    <t>1.1.1</t>
  </si>
  <si>
    <t>3.2.1</t>
  </si>
  <si>
    <t>3.2.2</t>
  </si>
  <si>
    <t>3.3.1</t>
  </si>
  <si>
    <t>4.4</t>
  </si>
  <si>
    <t>DÍAS</t>
  </si>
  <si>
    <t>EST/ DÍAS</t>
  </si>
  <si>
    <t>DATOS DE DESGASTE</t>
  </si>
  <si>
    <t>TOTAL DE HORAS</t>
  </si>
  <si>
    <t>DÍA</t>
  </si>
  <si>
    <t>TOTAL</t>
  </si>
  <si>
    <t xml:space="preserve">     ^ Introduzca el número de días</t>
  </si>
  <si>
    <t>PLAN</t>
  </si>
  <si>
    <t>HORAS</t>
  </si>
  <si>
    <t>Introduzca las horas completadas por día ----&gt;</t>
  </si>
  <si>
    <t>HRS COMPLETADO</t>
  </si>
  <si>
    <t>HRS RESTANTE</t>
  </si>
  <si>
    <t>GRÁFICO DE BURNDOWN</t>
  </si>
  <si>
    <t>BACKLOG DE LANZAMIENTOS</t>
  </si>
  <si>
    <t>PRIORIDAD</t>
  </si>
  <si>
    <t>FUNCIONALIDAD</t>
  </si>
  <si>
    <t>DESCRIPCIÓN DE LA TAREA</t>
  </si>
  <si>
    <t>ESTIMACIÓN DE TRABAJO EN HORAS</t>
  </si>
  <si>
    <t>ESTADO</t>
  </si>
  <si>
    <t>NOTAS</t>
  </si>
  <si>
    <t>CLAVE DE ESTADO</t>
  </si>
  <si>
    <t>Íntegro</t>
  </si>
  <si>
    <t>Atrasado</t>
  </si>
  <si>
    <t>En curso</t>
  </si>
  <si>
    <t>No iniciado</t>
  </si>
  <si>
    <t>HISTORIAS DE USUARIO o TAREAS</t>
  </si>
  <si>
    <t>AÑADIDO POR</t>
  </si>
  <si>
    <t>FECHA AÑADIDA</t>
  </si>
  <si>
    <t>HU-2: Recolección y organización del dataset</t>
  </si>
  <si>
    <t>HU-1: Configuración del entorno (8h)</t>
  </si>
  <si>
    <t>HU-2: Recolección y organización del dataset (12h)</t>
  </si>
  <si>
    <t>HU-3: Preprocesamiento de imágenes (8h)</t>
  </si>
  <si>
    <t>4</t>
  </si>
  <si>
    <t>HU-4: Diseño de arquitectura base CNN (12h)</t>
  </si>
  <si>
    <t>4.3</t>
  </si>
  <si>
    <t>5</t>
  </si>
  <si>
    <t>HU-5: Clasificación básica (8h)</t>
  </si>
  <si>
    <t>6</t>
  </si>
  <si>
    <t>5.1</t>
  </si>
  <si>
    <t>5.2</t>
  </si>
  <si>
    <t>5.3</t>
  </si>
  <si>
    <t>5.4</t>
  </si>
  <si>
    <t>HU-8: Mostrar nivel de confianza (4h)</t>
  </si>
  <si>
    <t>6.1</t>
  </si>
  <si>
    <t>6.2</t>
  </si>
  <si>
    <t>6.3</t>
  </si>
  <si>
    <t>6.4</t>
  </si>
  <si>
    <t>1.1</t>
  </si>
  <si>
    <t>1.2</t>
  </si>
  <si>
    <t>1.3</t>
  </si>
  <si>
    <t>1.4</t>
  </si>
  <si>
    <t>2</t>
  </si>
  <si>
    <t>4.1</t>
  </si>
  <si>
    <t>4.2</t>
  </si>
  <si>
    <t>Instalar Python y librerías necesarias</t>
  </si>
  <si>
    <t>Verificar compatibilidad con GPU.</t>
  </si>
  <si>
    <t>Configurar entorno virtual.</t>
  </si>
  <si>
    <t>Crear repositorio en GitHub.</t>
  </si>
  <si>
    <t>Buscar datasets públicos</t>
  </si>
  <si>
    <t>Seleccionar cultivos andinos</t>
  </si>
  <si>
    <t>Clasificar imágenes</t>
  </si>
  <si>
    <t>Documentar la fuente de datos.</t>
  </si>
  <si>
    <t>Redimensionar imágenes</t>
  </si>
  <si>
    <t>Normalizar valores de píxeles.</t>
  </si>
  <si>
    <t>Implementar técnicas de aumento de datos</t>
  </si>
  <si>
    <t>Guardar dataset limpio.</t>
  </si>
  <si>
    <t>Definir capas de la red</t>
  </si>
  <si>
    <t>Configurar función de pérdida y optimizador.</t>
  </si>
  <si>
    <t>Implementar entrenamiento inicial.</t>
  </si>
  <si>
    <t>Evaluar desempeño preliminar.</t>
  </si>
  <si>
    <t>Entrenar modelo con dos clases</t>
  </si>
  <si>
    <t>Validar con un subconjunto del dataset.</t>
  </si>
  <si>
    <t>Mostrar métricas de exactitud.</t>
  </si>
  <si>
    <t>Probar predicciones básicas.</t>
  </si>
  <si>
    <t>Calcular softmax para probabilidades.</t>
  </si>
  <si>
    <t>Mostrar % de confianza en resultados.</t>
  </si>
  <si>
    <t>Validar casos de baja confianza.</t>
  </si>
  <si>
    <t>Integrar con salida del modelo.</t>
  </si>
  <si>
    <t>Yersson</t>
  </si>
  <si>
    <t>Historias/ Actividades</t>
  </si>
  <si>
    <t>Por hacer</t>
  </si>
  <si>
    <t>En progreso</t>
  </si>
  <si>
    <t>Completado</t>
  </si>
  <si>
    <t xml:space="preserve">HU-1: Configuración del entorno </t>
  </si>
  <si>
    <t xml:space="preserve">HU-4: Diseño de arquitectura base CNN </t>
  </si>
  <si>
    <t xml:space="preserve">HU-3: Preprocesamiento de imágenes </t>
  </si>
  <si>
    <t xml:space="preserve">HU-8: Mostrar nivel de confianza </t>
  </si>
  <si>
    <t xml:space="preserve">HU-5: Clasificación básica </t>
  </si>
  <si>
    <t>Alejandro</t>
  </si>
  <si>
    <t>Andree</t>
  </si>
  <si>
    <t>Implementación de sistema de visión por computadora con CNN para diagnóstico de enfermedades en hojas de cultivos andinos en comunidades de Cusco</t>
  </si>
  <si>
    <t>HU-12: Transfer Learning (16h)</t>
  </si>
  <si>
    <t>HU-13: Métricas de Validación (8h)</t>
  </si>
  <si>
    <t>HU-23: Visualización de Métricas (8h)</t>
  </si>
  <si>
    <t>HU-25: Optimización para Web (12h)</t>
  </si>
  <si>
    <t>HU-27: Validación con Dataset Externo (8h)</t>
  </si>
  <si>
    <t>HU-11: Entrenamiento con Dataset Ampliado (8h)</t>
  </si>
  <si>
    <t>Seleccionar modelo preentrenado (ResNet, VGG, EfficientNet).</t>
  </si>
  <si>
    <t>Adaptar capas finales para 39 categorías de enfermedades.</t>
  </si>
  <si>
    <t>Entrenar y validar el modelo ajustado con dataset existente.</t>
  </si>
  <si>
    <t>Implementar cálculo de precisión, recall y F1-score.</t>
  </si>
  <si>
    <t>Generar matriz de confusión con dataset de prueba.</t>
  </si>
  <si>
    <t>Documentar resultados de validación en reporte técnico.</t>
  </si>
  <si>
    <t>Integrar visualizaciones en reporte web/Notebook.</t>
  </si>
  <si>
    <t>Crear gráficos de matriz de confusión y curva ROC.</t>
  </si>
  <si>
    <t>Generar gráfica de precisión y pérdida por época.</t>
  </si>
  <si>
    <t>3.3</t>
  </si>
  <si>
    <t>Reducir tamaño del modelo usando técnicas de compresión/poda.</t>
  </si>
  <si>
    <t>Exportar modelo optimizado a formato compatible (TorchScript/ONNX).</t>
  </si>
  <si>
    <t>Probar tiempos de inferencia en entorno web.</t>
  </si>
  <si>
    <t>Cargar y preparar dataset externo independiente.</t>
  </si>
  <si>
    <t>Ejecutar modelo entrenado sobre dataset externo.</t>
  </si>
  <si>
    <t>Comparar métricas con dataset original y documentar resultados.</t>
  </si>
  <si>
    <t>Incorporar imágenes aumentadas (clima, luz, ángulos distintos).</t>
  </si>
  <si>
    <t>Reentrenar modelo con dataset ampliado.</t>
  </si>
  <si>
    <t>Evaluar mejoras de generalización respecto al modelo base.</t>
  </si>
  <si>
    <t>HU-6: Detección de cultivo (12h)</t>
  </si>
  <si>
    <t>HU-7: Diagnóstico específico por enfermedad (16h)</t>
  </si>
  <si>
    <t>HU-9: Interfaz web (12h)</t>
  </si>
  <si>
    <t>HU-10: Subida intuitiva de imágenes (4h)</t>
  </si>
  <si>
    <t>HU-16: Recomendaciones básicas (8h)</t>
  </si>
  <si>
    <t>HU-15: Ejemplos visuales (4h)</t>
  </si>
  <si>
    <t>Implementar clasificación multiclase (papa/maíz/quinua).</t>
  </si>
  <si>
    <t>Entrenar CNN ampliada.</t>
  </si>
  <si>
    <t>Validar precisión por cultivo.</t>
  </si>
  <si>
    <t>Guardar pesos entrenados.</t>
  </si>
  <si>
    <t>Ampliar clases a enfermedades comunes (ej. tizón, mildiu).</t>
  </si>
  <si>
    <t>Entrenar modelo con dataset etiquetado.</t>
  </si>
  <si>
    <t>Validar métricas de precisión por enfermedad.</t>
  </si>
  <si>
    <t>Generar matriz de confusión inicial.</t>
  </si>
  <si>
    <t>Diseñar frontend básico con HTML/CSS/Flask/Django.</t>
  </si>
  <si>
    <t>Integrar formulario para subir imágenes.</t>
  </si>
  <si>
    <t>Conectar backend con modelo CNN.</t>
  </si>
  <si>
    <t>Mostrar resultados en la web.</t>
  </si>
  <si>
    <t>Implementar arrastrar y soltar.</t>
  </si>
  <si>
    <t>Permitir subida desde archivos locales.</t>
  </si>
  <si>
    <t>Validar formato de imágenes (jpg, png).</t>
  </si>
  <si>
    <t>Mostrar preview de la imagen.</t>
  </si>
  <si>
    <t>Asociar recomendaciones generales a enfermedades.</t>
  </si>
  <si>
    <t>Mostrar consejos simples en interfaz.</t>
  </si>
  <si>
    <t>Validar con diagnóstico previo.</t>
  </si>
  <si>
    <t>Crear base inicial de conocimientos.</t>
  </si>
  <si>
    <t>Incluir imágenes de hojas sanas/enfermas.</t>
  </si>
  <si>
    <t>Mostrar junto al diagnóstico.</t>
  </si>
  <si>
    <t>Validar con dataset de referencia.</t>
  </si>
  <si>
    <t>Asegurar legibilidad en interfaz.</t>
  </si>
  <si>
    <t>HU-14: Historial de Diagnósticos (8h)</t>
  </si>
  <si>
    <t>HU-17: Notas en Diagnóstico (4h)</t>
  </si>
  <si>
    <t>HU-18: Validación de Calidad de Imagen (8h)</t>
  </si>
  <si>
    <t>HU-24: Múltiples Imágenes por Cultivo (8h)</t>
  </si>
  <si>
    <t>HU-26: Alertas Tempranas (8h)</t>
  </si>
  <si>
    <t>HU-19: Clasificación de Severidad (8h)</t>
  </si>
  <si>
    <t>7</t>
  </si>
  <si>
    <t>7.1</t>
  </si>
  <si>
    <t>7.2</t>
  </si>
  <si>
    <t>7.3</t>
  </si>
  <si>
    <t>8</t>
  </si>
  <si>
    <t>8.1</t>
  </si>
  <si>
    <t>8.2</t>
  </si>
  <si>
    <t>8.3</t>
  </si>
  <si>
    <t>HU-22: Retroalimentación del Usuario (4h)</t>
  </si>
  <si>
    <t>HU-28: Backup Automático (4h)</t>
  </si>
  <si>
    <t>Diseñar estructura de base de datos para guardar diagnósticos.</t>
  </si>
  <si>
    <t>Implementar visualización del historial en la interfaz web.</t>
  </si>
  <si>
    <t>Permitir filtrado por fecha o tipo de enfermedad.</t>
  </si>
  <si>
    <t>Crear campo para añadir notas o comentarios por diagnóstico.</t>
  </si>
  <si>
    <t>Guardar notas junto a la imagen y resultado.</t>
  </si>
  <si>
    <t>Mostrar notas en el historial de diagnósticos.</t>
  </si>
  <si>
    <t>Implementar detección de imágenes borrosas o incompletas.</t>
  </si>
  <si>
    <t>Notificar al usuario cuando la imagen no cumpla calidad mínima.</t>
  </si>
  <si>
    <t>Registrar estadísticas de calidad en los reportes</t>
  </si>
  <si>
    <t>Permitir carga simultánea de varias imágenes.</t>
  </si>
  <si>
    <t>Analizar todas las imágenes antes de emitir diagnóstico final.</t>
  </si>
  <si>
    <t>Mostrar resultado consolidado con promedio de confianza.</t>
  </si>
  <si>
    <t>Configurar reglas para detectar patrones de brotes.</t>
  </si>
  <si>
    <t>Generar alertas visuales cuando haya recurrencia en una zona.</t>
  </si>
  <si>
    <t>Mostrar resumen de alertas en la interfaz web.</t>
  </si>
  <si>
    <t>Añadir etiquetas de severidad (leve, moderada, grave) en dataset.</t>
  </si>
  <si>
    <t>Ajustar el modelo CNN para salida multiclase de severidad.</t>
  </si>
  <si>
    <t>Mostrar nivel de severidad junto con diagnóstico.</t>
  </si>
  <si>
    <t>Crear formulario para calificar precisión del diagnóstico.</t>
  </si>
  <si>
    <t>Guardar retroalimentación en la base de datos.</t>
  </si>
  <si>
    <t>Mostrar estadísticas básicas de satisfacción.</t>
  </si>
  <si>
    <t>Configurar tareas automáticas de respaldo de datos y modelo.</t>
  </si>
  <si>
    <t>Guardar copias en almacenamiento seguro (Drive o servidor).</t>
  </si>
  <si>
    <t>Probar recuperación de respaldo exitosamente.</t>
  </si>
  <si>
    <t>HU-20: Exportación de Datos Anonimizados (8h)</t>
  </si>
  <si>
    <t>HU-21: Soporte Multilenguaje (8h)</t>
  </si>
  <si>
    <t>HU-30: Manual de Usuario (8h)</t>
  </si>
  <si>
    <t>HU-29: Documentación Técnica (12h)</t>
  </si>
  <si>
    <t>Implementar exportación de registros en formato CSV/Excel.</t>
  </si>
  <si>
    <t>Asegurar eliminación de datos personales antes de exportar.</t>
  </si>
  <si>
    <t>Crear estructura de archivos para traducción (Español/Quechua).</t>
  </si>
  <si>
    <t>Traducir textos clave de la interfaz y mensajes del sistema.</t>
  </si>
  <si>
    <t>Redactar guía detallada con pasos para usar el sistema.</t>
  </si>
  <si>
    <t>Incluir capturas de pantalla y ejemplos de diagnóstico.</t>
  </si>
  <si>
    <t>Documentar arquitectura general del sistema y modelo CNN.</t>
  </si>
  <si>
    <t>Describir dependencias, instalación y flujo de datos.</t>
  </si>
  <si>
    <t>Validar exportación correcta y legible por herramientas externas.</t>
  </si>
  <si>
    <t>Implementar cambio dinámico de idioma desde la configuración.</t>
  </si>
  <si>
    <t>Publicar el manual en formato PDF y en línea (web).</t>
  </si>
  <si>
    <t>Crear diagrama final del sistema y anexar resultados finales.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</si>
</sst>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mm/dd/yy"/>
    <numFmt numFmtId="166" formatCode="0.00000"/>
    <numFmt numFmtId="167" formatCode="yyyy\-mm\-dd"/>
  </numFmts>
  <fonts count="38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0"/>
      <color theme="1"/>
      <name val="Arial"/>
      <family val="2"/>
    </font>
    <font>
      <b/>
      <sz val="10"/>
      <color theme="4" tint="-0.249977111117893"/>
      <name val="Arial"/>
      <family val="2"/>
    </font>
    <font>
      <u/>
      <sz val="12"/>
      <color theme="10"/>
      <name val="Corbel"/>
      <family val="2"/>
      <scheme val="minor"/>
    </font>
    <font>
      <u/>
      <sz val="12"/>
      <color theme="11"/>
      <name val="Corbel"/>
      <family val="2"/>
      <scheme val="minor"/>
    </font>
    <font>
      <sz val="12"/>
      <color theme="1"/>
      <name val="Arial"/>
      <family val="2"/>
    </font>
    <font>
      <b/>
      <sz val="22"/>
      <color theme="0" tint="-0.499984740745262"/>
      <name val="Century GothiC "/>
    </font>
    <font>
      <b/>
      <sz val="10"/>
      <color theme="0" tint="-0.499984740745262"/>
      <name val="Century GothiC "/>
    </font>
    <font>
      <sz val="10"/>
      <color theme="1"/>
      <name val="Century GothiC "/>
    </font>
    <font>
      <b/>
      <sz val="16"/>
      <color theme="0" tint="-0.499984740745262"/>
      <name val="Century Gothic"/>
      <family val="1"/>
    </font>
    <font>
      <b/>
      <sz val="10"/>
      <color theme="4" tint="-0.249977111117893"/>
      <name val="Century Gothic"/>
      <family val="1"/>
    </font>
    <font>
      <sz val="12"/>
      <color theme="1"/>
      <name val="Century Gothic"/>
      <family val="1"/>
    </font>
    <font>
      <b/>
      <sz val="9"/>
      <color theme="1"/>
      <name val="Century Gothic"/>
      <family val="1"/>
    </font>
    <font>
      <b/>
      <sz val="8"/>
      <color theme="1"/>
      <name val="Century Gothic"/>
      <family val="1"/>
    </font>
    <font>
      <b/>
      <sz val="10"/>
      <color theme="0"/>
      <name val="Century Gothic"/>
      <family val="1"/>
    </font>
    <font>
      <b/>
      <sz val="10"/>
      <color theme="1"/>
      <name val="Century Gothic"/>
      <family val="1"/>
    </font>
    <font>
      <sz val="9"/>
      <color theme="1"/>
      <name val="Century Gothic"/>
      <family val="1"/>
    </font>
    <font>
      <sz val="10"/>
      <color theme="1"/>
      <name val="Century Gothic"/>
      <family val="1"/>
    </font>
    <font>
      <b/>
      <sz val="8"/>
      <color theme="0" tint="-0.499984740745262"/>
      <name val="Century Gothic"/>
      <family val="1"/>
    </font>
    <font>
      <b/>
      <sz val="10"/>
      <color theme="0" tint="-0.499984740745262"/>
      <name val="Century Gothic"/>
      <family val="1"/>
    </font>
    <font>
      <b/>
      <sz val="11"/>
      <color theme="0" tint="-0.499984740745262"/>
      <name val="Century Gothic"/>
      <family val="1"/>
    </font>
    <font>
      <sz val="11"/>
      <color theme="8" tint="-0.249977111117893"/>
      <name val="Century Gothic"/>
      <family val="1"/>
    </font>
    <font>
      <sz val="7"/>
      <color theme="8" tint="-0.249977111117893"/>
      <name val="Century Gothic"/>
      <family val="1"/>
    </font>
    <font>
      <b/>
      <sz val="18"/>
      <color theme="0" tint="-0.499984740745262"/>
      <name val="Century Gothic"/>
      <family val="1"/>
    </font>
    <font>
      <b/>
      <sz val="10"/>
      <color theme="0"/>
      <name val="Century GothiC "/>
    </font>
    <font>
      <b/>
      <sz val="10"/>
      <color rgb="FF008000"/>
      <name val="Century GothiC "/>
    </font>
    <font>
      <b/>
      <sz val="10"/>
      <color rgb="FFFF0000"/>
      <name val="Century GothiC "/>
    </font>
    <font>
      <b/>
      <sz val="10"/>
      <color rgb="FFFF6600"/>
      <name val="Century GothiC "/>
    </font>
    <font>
      <b/>
      <sz val="12"/>
      <color theme="1"/>
      <name val="Century Gothic"/>
      <family val="1"/>
    </font>
    <font>
      <sz val="11"/>
      <color theme="1"/>
      <name val="Corbel"/>
      <family val="2"/>
      <scheme val="minor"/>
    </font>
    <font>
      <sz val="12"/>
      <color theme="10"/>
      <name val="Corbel"/>
      <family val="2"/>
      <scheme val="minor"/>
    </font>
    <font>
      <sz val="22"/>
      <color rgb="FFFFFFFF"/>
      <name val="Corbel"/>
    </font>
    <font>
      <sz val="11"/>
      <color rgb="FF3F3F76"/>
      <name val="Corbel"/>
      <family val="2"/>
      <scheme val="minor"/>
    </font>
    <font>
      <sz val="8"/>
      <name val="Corbel"/>
      <family val="2"/>
      <scheme val="minor"/>
    </font>
    <font>
      <b/>
      <sz val="14"/>
      <color theme="0"/>
      <name val="Corbel"/>
      <family val="2"/>
      <scheme val="minor"/>
    </font>
    <font>
      <b/>
      <sz val="14"/>
      <color rgb="FF3F3F76"/>
      <name val="Corbel"/>
      <family val="2"/>
      <scheme val="minor"/>
    </font>
    <font>
      <b/>
      <sz val="14"/>
      <color theme="1"/>
      <name val="Corbel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C9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7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249977111117893"/>
      </left>
      <right/>
      <top/>
      <bottom style="double">
        <color theme="0" tint="-0.249977111117893"/>
      </bottom>
      <diagonal/>
    </border>
    <border>
      <left style="medium">
        <color theme="0" tint="-0.249977111117893"/>
      </left>
      <right/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/>
      <diagonal/>
    </border>
    <border>
      <left style="thin">
        <color theme="0" tint="-0.249977111117893"/>
      </left>
      <right/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double">
        <color theme="0" tint="-0.24997711111789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7F7F7F"/>
      </top>
      <bottom/>
      <diagonal/>
    </border>
  </borders>
  <cellStyleXfs count="7">
    <xf numFmtId="0" fontId="0" fillId="0" borderId="0"/>
    <xf numFmtId="9" fontId="1" fillId="0" borderId="0"/>
    <xf numFmtId="0" fontId="4" fillId="0" borderId="0"/>
    <xf numFmtId="0" fontId="5" fillId="0" borderId="0"/>
    <xf numFmtId="0" fontId="30" fillId="0" borderId="0"/>
    <xf numFmtId="0" fontId="31" fillId="0" borderId="0"/>
    <xf numFmtId="0" fontId="33" fillId="32" borderId="64" applyNumberFormat="0" applyAlignment="0" applyProtection="0"/>
  </cellStyleXfs>
  <cellXfs count="273">
    <xf numFmtId="0" fontId="0" fillId="0" borderId="0" xfId="0"/>
    <xf numFmtId="0" fontId="2" fillId="0" borderId="4" xfId="0" applyFont="1" applyBorder="1"/>
    <xf numFmtId="0" fontId="2" fillId="0" borderId="1" xfId="0" applyFont="1" applyBorder="1"/>
    <xf numFmtId="0" fontId="2" fillId="10" borderId="1" xfId="0" applyFont="1" applyFill="1" applyBorder="1"/>
    <xf numFmtId="0" fontId="2" fillId="0" borderId="5" xfId="0" applyFont="1" applyBorder="1"/>
    <xf numFmtId="0" fontId="2" fillId="11" borderId="1" xfId="0" applyFont="1" applyFill="1" applyBorder="1"/>
    <xf numFmtId="0" fontId="2" fillId="12" borderId="1" xfId="0" applyFont="1" applyFill="1" applyBorder="1"/>
    <xf numFmtId="0" fontId="2" fillId="13" borderId="1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10" borderId="7" xfId="0" applyFont="1" applyFill="1" applyBorder="1"/>
    <xf numFmtId="0" fontId="2" fillId="0" borderId="8" xfId="0" applyFont="1" applyBorder="1"/>
    <xf numFmtId="0" fontId="2" fillId="11" borderId="7" xfId="0" applyFont="1" applyFill="1" applyBorder="1"/>
    <xf numFmtId="0" fontId="2" fillId="12" borderId="7" xfId="0" applyFont="1" applyFill="1" applyBorder="1"/>
    <xf numFmtId="0" fontId="2" fillId="13" borderId="7" xfId="0" applyFont="1" applyFill="1" applyBorder="1"/>
    <xf numFmtId="0" fontId="3" fillId="0" borderId="0" xfId="0" applyFont="1" applyAlignment="1">
      <alignment horizontal="left" vertical="center"/>
    </xf>
    <xf numFmtId="0" fontId="2" fillId="14" borderId="4" xfId="0" applyFont="1" applyFill="1" applyBorder="1"/>
    <xf numFmtId="0" fontId="2" fillId="14" borderId="1" xfId="0" applyFont="1" applyFill="1" applyBorder="1"/>
    <xf numFmtId="0" fontId="2" fillId="14" borderId="5" xfId="0" applyFont="1" applyFill="1" applyBorder="1"/>
    <xf numFmtId="0" fontId="3" fillId="0" borderId="18" xfId="0" applyFont="1" applyBorder="1" applyAlignment="1">
      <alignment horizontal="left" vertical="center"/>
    </xf>
    <xf numFmtId="0" fontId="0" fillId="0" borderId="18" xfId="0" applyBorder="1"/>
    <xf numFmtId="0" fontId="0" fillId="0" borderId="30" xfId="0" applyBorder="1"/>
    <xf numFmtId="0" fontId="3" fillId="19" borderId="30" xfId="0" applyFont="1" applyFill="1" applyBorder="1" applyAlignment="1">
      <alignment horizontal="left" vertical="center"/>
    </xf>
    <xf numFmtId="0" fontId="0" fillId="20" borderId="18" xfId="0" applyFill="1" applyBorder="1"/>
    <xf numFmtId="0" fontId="0" fillId="21" borderId="18" xfId="0" applyFill="1" applyBorder="1"/>
    <xf numFmtId="0" fontId="0" fillId="18" borderId="18" xfId="0" applyFill="1" applyBorder="1"/>
    <xf numFmtId="0" fontId="0" fillId="22" borderId="18" xfId="0" applyFill="1" applyBorder="1"/>
    <xf numFmtId="0" fontId="2" fillId="2" borderId="4" xfId="0" applyFont="1" applyFill="1" applyBorder="1"/>
    <xf numFmtId="0" fontId="2" fillId="4" borderId="4" xfId="0" applyFont="1" applyFill="1" applyBorder="1"/>
    <xf numFmtId="0" fontId="2" fillId="6" borderId="4" xfId="0" applyFont="1" applyFill="1" applyBorder="1"/>
    <xf numFmtId="0" fontId="2" fillId="8" borderId="4" xfId="0" applyFont="1" applyFill="1" applyBorder="1"/>
    <xf numFmtId="0" fontId="6" fillId="0" borderId="0" xfId="0" applyFont="1"/>
    <xf numFmtId="0" fontId="7" fillId="23" borderId="0" xfId="0" applyFont="1" applyFill="1" applyAlignment="1">
      <alignment vertical="center"/>
    </xf>
    <xf numFmtId="0" fontId="8" fillId="23" borderId="0" xfId="0" applyFont="1" applyFill="1" applyAlignment="1">
      <alignment vertical="center"/>
    </xf>
    <xf numFmtId="0" fontId="9" fillId="0" borderId="0" xfId="0" applyFont="1"/>
    <xf numFmtId="0" fontId="0" fillId="0" borderId="0" xfId="0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39" xfId="0" applyFont="1" applyBorder="1" applyAlignment="1">
      <alignment vertical="center"/>
    </xf>
    <xf numFmtId="0" fontId="13" fillId="19" borderId="30" xfId="0" applyFont="1" applyFill="1" applyBorder="1" applyAlignment="1">
      <alignment horizontal="center" vertical="center" wrapText="1"/>
    </xf>
    <xf numFmtId="0" fontId="11" fillId="19" borderId="30" xfId="0" applyFont="1" applyFill="1" applyBorder="1" applyAlignment="1">
      <alignment horizontal="left" vertical="center"/>
    </xf>
    <xf numFmtId="0" fontId="12" fillId="19" borderId="30" xfId="0" applyFont="1" applyFill="1" applyBorder="1"/>
    <xf numFmtId="0" fontId="12" fillId="0" borderId="30" xfId="0" applyFont="1" applyBorder="1"/>
    <xf numFmtId="0" fontId="12" fillId="0" borderId="31" xfId="0" applyFont="1" applyBorder="1"/>
    <xf numFmtId="0" fontId="13" fillId="20" borderId="18" xfId="0" applyFont="1" applyFill="1" applyBorder="1" applyAlignment="1">
      <alignment horizontal="center" vertical="center" wrapText="1"/>
    </xf>
    <xf numFmtId="0" fontId="11" fillId="0" borderId="18" xfId="0" applyFont="1" applyBorder="1" applyAlignment="1">
      <alignment horizontal="left" vertical="center"/>
    </xf>
    <xf numFmtId="0" fontId="12" fillId="0" borderId="18" xfId="0" applyFont="1" applyBorder="1"/>
    <xf numFmtId="0" fontId="12" fillId="20" borderId="18" xfId="0" applyFont="1" applyFill="1" applyBorder="1"/>
    <xf numFmtId="0" fontId="12" fillId="0" borderId="33" xfId="0" applyFont="1" applyBorder="1"/>
    <xf numFmtId="0" fontId="13" fillId="21" borderId="18" xfId="0" applyFont="1" applyFill="1" applyBorder="1" applyAlignment="1">
      <alignment horizontal="center" vertical="center" wrapText="1"/>
    </xf>
    <xf numFmtId="0" fontId="12" fillId="21" borderId="18" xfId="0" applyFont="1" applyFill="1" applyBorder="1"/>
    <xf numFmtId="0" fontId="13" fillId="18" borderId="18" xfId="0" applyFont="1" applyFill="1" applyBorder="1" applyAlignment="1">
      <alignment horizontal="center" vertical="center" wrapText="1"/>
    </xf>
    <xf numFmtId="0" fontId="12" fillId="18" borderId="18" xfId="0" applyFont="1" applyFill="1" applyBorder="1"/>
    <xf numFmtId="0" fontId="13" fillId="22" borderId="18" xfId="0" applyFont="1" applyFill="1" applyBorder="1" applyAlignment="1">
      <alignment horizontal="center" vertical="center" wrapText="1"/>
    </xf>
    <xf numFmtId="0" fontId="12" fillId="22" borderId="18" xfId="0" applyFont="1" applyFill="1" applyBorder="1"/>
    <xf numFmtId="0" fontId="14" fillId="14" borderId="45" xfId="0" applyFont="1" applyFill="1" applyBorder="1" applyAlignment="1">
      <alignment horizontal="center" vertical="center" wrapText="1"/>
    </xf>
    <xf numFmtId="0" fontId="14" fillId="14" borderId="18" xfId="0" applyFont="1" applyFill="1" applyBorder="1" applyAlignment="1">
      <alignment horizontal="center" vertical="center" wrapText="1"/>
    </xf>
    <xf numFmtId="0" fontId="14" fillId="14" borderId="33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/>
    </xf>
    <xf numFmtId="0" fontId="16" fillId="3" borderId="12" xfId="0" applyFont="1" applyFill="1" applyBorder="1" applyAlignment="1">
      <alignment horizontal="center" vertical="center"/>
    </xf>
    <xf numFmtId="0" fontId="16" fillId="3" borderId="17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6" fillId="7" borderId="11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7" xfId="0" applyFont="1" applyFill="1" applyBorder="1" applyAlignment="1">
      <alignment horizontal="center" vertical="center"/>
    </xf>
    <xf numFmtId="0" fontId="16" fillId="9" borderId="11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7" xfId="0" applyFont="1" applyFill="1" applyBorder="1" applyAlignment="1">
      <alignment horizontal="center" vertical="center"/>
    </xf>
    <xf numFmtId="0" fontId="18" fillId="14" borderId="4" xfId="0" applyFont="1" applyFill="1" applyBorder="1"/>
    <xf numFmtId="0" fontId="18" fillId="14" borderId="1" xfId="0" applyFont="1" applyFill="1" applyBorder="1"/>
    <xf numFmtId="0" fontId="18" fillId="14" borderId="5" xfId="0" applyFont="1" applyFill="1" applyBorder="1"/>
    <xf numFmtId="0" fontId="17" fillId="0" borderId="18" xfId="0" applyFont="1" applyBorder="1" applyAlignment="1">
      <alignment horizontal="center" vertical="center"/>
    </xf>
    <xf numFmtId="0" fontId="18" fillId="0" borderId="4" xfId="0" applyFont="1" applyBorder="1"/>
    <xf numFmtId="0" fontId="18" fillId="0" borderId="1" xfId="0" applyFont="1" applyBorder="1"/>
    <xf numFmtId="0" fontId="18" fillId="15" borderId="1" xfId="0" applyFont="1" applyFill="1" applyBorder="1"/>
    <xf numFmtId="0" fontId="18" fillId="10" borderId="1" xfId="0" applyFont="1" applyFill="1" applyBorder="1"/>
    <xf numFmtId="0" fontId="18" fillId="0" borderId="5" xfId="0" applyFont="1" applyBorder="1"/>
    <xf numFmtId="0" fontId="18" fillId="11" borderId="1" xfId="0" applyFont="1" applyFill="1" applyBorder="1"/>
    <xf numFmtId="0" fontId="18" fillId="12" borderId="1" xfId="0" applyFont="1" applyFill="1" applyBorder="1"/>
    <xf numFmtId="0" fontId="18" fillId="16" borderId="4" xfId="0" applyFont="1" applyFill="1" applyBorder="1"/>
    <xf numFmtId="0" fontId="18" fillId="16" borderId="1" xfId="0" applyFont="1" applyFill="1" applyBorder="1"/>
    <xf numFmtId="0" fontId="18" fillId="0" borderId="6" xfId="0" applyFont="1" applyBorder="1"/>
    <xf numFmtId="0" fontId="18" fillId="0" borderId="7" xfId="0" applyFont="1" applyBorder="1"/>
    <xf numFmtId="0" fontId="18" fillId="10" borderId="7" xfId="0" applyFont="1" applyFill="1" applyBorder="1"/>
    <xf numFmtId="0" fontId="18" fillId="0" borderId="8" xfId="0" applyFont="1" applyBorder="1"/>
    <xf numFmtId="0" fontId="18" fillId="11" borderId="7" xfId="0" applyFont="1" applyFill="1" applyBorder="1"/>
    <xf numFmtId="0" fontId="18" fillId="12" borderId="7" xfId="0" applyFont="1" applyFill="1" applyBorder="1"/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15" fillId="22" borderId="18" xfId="0" applyFont="1" applyFill="1" applyBorder="1" applyAlignment="1">
      <alignment horizontal="center" vertical="center"/>
    </xf>
    <xf numFmtId="0" fontId="22" fillId="0" borderId="0" xfId="0" applyFont="1" applyAlignment="1">
      <alignment horizontal="left" indent="1"/>
    </xf>
    <xf numFmtId="0" fontId="23" fillId="19" borderId="18" xfId="0" applyFont="1" applyFill="1" applyBorder="1" applyAlignment="1">
      <alignment horizontal="center" vertical="center"/>
    </xf>
    <xf numFmtId="1" fontId="23" fillId="19" borderId="18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right"/>
    </xf>
    <xf numFmtId="0" fontId="18" fillId="0" borderId="4" xfId="0" applyFont="1" applyBorder="1" applyAlignment="1">
      <alignment horizontal="left" vertical="center" wrapText="1" indent="1"/>
    </xf>
    <xf numFmtId="0" fontId="18" fillId="0" borderId="1" xfId="0" applyFont="1" applyBorder="1" applyAlignment="1">
      <alignment horizontal="left" vertical="center" wrapText="1" indent="1"/>
    </xf>
    <xf numFmtId="0" fontId="18" fillId="0" borderId="6" xfId="0" applyFont="1" applyBorder="1" applyAlignment="1">
      <alignment horizontal="left" vertical="center" wrapText="1" indent="1"/>
    </xf>
    <xf numFmtId="0" fontId="18" fillId="0" borderId="7" xfId="0" applyFont="1" applyBorder="1" applyAlignment="1">
      <alignment horizontal="left" vertical="center" wrapText="1" indent="1"/>
    </xf>
    <xf numFmtId="164" fontId="18" fillId="25" borderId="22" xfId="0" applyNumberFormat="1" applyFont="1" applyFill="1" applyBorder="1" applyAlignment="1">
      <alignment horizontal="center" vertical="center" wrapText="1"/>
    </xf>
    <xf numFmtId="164" fontId="18" fillId="25" borderId="49" xfId="0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16" fillId="0" borderId="24" xfId="0" applyFont="1" applyBorder="1" applyAlignment="1">
      <alignment horizontal="center" vertical="center" wrapText="1"/>
    </xf>
    <xf numFmtId="0" fontId="18" fillId="0" borderId="50" xfId="0" applyFont="1" applyBorder="1" applyAlignment="1">
      <alignment horizontal="left" vertical="center" wrapText="1" indent="1"/>
    </xf>
    <xf numFmtId="0" fontId="26" fillId="0" borderId="52" xfId="0" applyFont="1" applyBorder="1" applyAlignment="1">
      <alignment horizontal="center" vertical="center"/>
    </xf>
    <xf numFmtId="0" fontId="27" fillId="0" borderId="52" xfId="0" applyFont="1" applyBorder="1" applyAlignment="1">
      <alignment horizontal="center" vertical="center"/>
    </xf>
    <xf numFmtId="0" fontId="28" fillId="0" borderId="52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25" fillId="26" borderId="52" xfId="0" applyFont="1" applyFill="1" applyBorder="1" applyAlignment="1">
      <alignment horizontal="center" vertical="center"/>
    </xf>
    <xf numFmtId="0" fontId="25" fillId="27" borderId="52" xfId="0" applyFont="1" applyFill="1" applyBorder="1" applyAlignment="1">
      <alignment horizontal="center" vertical="center"/>
    </xf>
    <xf numFmtId="0" fontId="25" fillId="28" borderId="52" xfId="0" applyFont="1" applyFill="1" applyBorder="1" applyAlignment="1">
      <alignment horizontal="center" vertical="center"/>
    </xf>
    <xf numFmtId="0" fontId="25" fillId="29" borderId="53" xfId="0" applyFont="1" applyFill="1" applyBorder="1" applyAlignment="1">
      <alignment horizontal="center" vertical="center"/>
    </xf>
    <xf numFmtId="0" fontId="18" fillId="0" borderId="55" xfId="0" applyFont="1" applyBorder="1" applyAlignment="1">
      <alignment horizontal="left" vertical="center" wrapText="1" indent="1"/>
    </xf>
    <xf numFmtId="0" fontId="18" fillId="0" borderId="56" xfId="0" applyFont="1" applyBorder="1" applyAlignment="1">
      <alignment horizontal="left" vertical="center" wrapText="1" indent="1"/>
    </xf>
    <xf numFmtId="0" fontId="16" fillId="0" borderId="52" xfId="0" applyFont="1" applyBorder="1" applyAlignment="1">
      <alignment horizontal="center" vertical="center" wrapText="1"/>
    </xf>
    <xf numFmtId="0" fontId="16" fillId="0" borderId="53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28" xfId="0" applyFont="1" applyBorder="1" applyAlignment="1">
      <alignment horizontal="left" vertical="center" wrapText="1" indent="1"/>
    </xf>
    <xf numFmtId="0" fontId="18" fillId="0" borderId="43" xfId="0" applyFont="1" applyBorder="1" applyAlignment="1">
      <alignment horizontal="left" vertical="center" wrapText="1" indent="1"/>
    </xf>
    <xf numFmtId="0" fontId="18" fillId="0" borderId="52" xfId="0" applyFont="1" applyBorder="1" applyAlignment="1">
      <alignment horizontal="left" vertical="center" wrapText="1" indent="1"/>
    </xf>
    <xf numFmtId="0" fontId="18" fillId="0" borderId="53" xfId="0" applyFont="1" applyBorder="1" applyAlignment="1">
      <alignment horizontal="left" vertical="center" wrapText="1" indent="1"/>
    </xf>
    <xf numFmtId="0" fontId="13" fillId="24" borderId="19" xfId="0" applyFont="1" applyFill="1" applyBorder="1" applyAlignment="1">
      <alignment horizontal="left" vertical="center" wrapText="1" indent="1"/>
    </xf>
    <xf numFmtId="0" fontId="13" fillId="24" borderId="20" xfId="0" applyFont="1" applyFill="1" applyBorder="1" applyAlignment="1">
      <alignment horizontal="left" vertical="center" wrapText="1" indent="1"/>
    </xf>
    <xf numFmtId="0" fontId="13" fillId="24" borderId="21" xfId="0" applyFont="1" applyFill="1" applyBorder="1" applyAlignment="1">
      <alignment horizontal="center" vertical="center" wrapText="1"/>
    </xf>
    <xf numFmtId="0" fontId="13" fillId="24" borderId="57" xfId="0" applyFont="1" applyFill="1" applyBorder="1" applyAlignment="1">
      <alignment horizontal="center" vertical="center" wrapText="1"/>
    </xf>
    <xf numFmtId="0" fontId="13" fillId="24" borderId="51" xfId="0" applyFont="1" applyFill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0" fontId="13" fillId="24" borderId="40" xfId="0" applyFont="1" applyFill="1" applyBorder="1" applyAlignment="1">
      <alignment horizontal="center" vertical="center" wrapText="1"/>
    </xf>
    <xf numFmtId="0" fontId="13" fillId="24" borderId="54" xfId="0" applyFont="1" applyFill="1" applyBorder="1" applyAlignment="1">
      <alignment horizontal="center" vertical="center" wrapText="1"/>
    </xf>
    <xf numFmtId="0" fontId="15" fillId="30" borderId="58" xfId="0" applyFont="1" applyFill="1" applyBorder="1" applyAlignment="1">
      <alignment horizontal="left"/>
    </xf>
    <xf numFmtId="0" fontId="15" fillId="30" borderId="10" xfId="0" applyFont="1" applyFill="1" applyBorder="1" applyAlignment="1">
      <alignment horizontal="left" vertical="top"/>
    </xf>
    <xf numFmtId="0" fontId="15" fillId="31" borderId="10" xfId="0" applyFont="1" applyFill="1" applyBorder="1" applyAlignment="1">
      <alignment horizontal="left" vertical="center"/>
    </xf>
    <xf numFmtId="0" fontId="15" fillId="31" borderId="1" xfId="0" applyFont="1" applyFill="1" applyBorder="1" applyAlignment="1">
      <alignment horizontal="left" vertical="center"/>
    </xf>
    <xf numFmtId="49" fontId="18" fillId="17" borderId="14" xfId="0" applyNumberFormat="1" applyFont="1" applyFill="1" applyBorder="1" applyAlignment="1">
      <alignment horizontal="left" vertical="center" indent="1"/>
    </xf>
    <xf numFmtId="0" fontId="18" fillId="14" borderId="45" xfId="0" applyFont="1" applyFill="1" applyBorder="1" applyAlignment="1">
      <alignment horizontal="center" vertical="center"/>
    </xf>
    <xf numFmtId="0" fontId="18" fillId="14" borderId="18" xfId="0" applyFont="1" applyFill="1" applyBorder="1" applyAlignment="1">
      <alignment horizontal="center" vertical="center"/>
    </xf>
    <xf numFmtId="0" fontId="18" fillId="14" borderId="33" xfId="0" applyFont="1" applyFill="1" applyBorder="1" applyAlignment="1">
      <alignment horizontal="center" vertical="center"/>
    </xf>
    <xf numFmtId="0" fontId="18" fillId="14" borderId="48" xfId="0" applyFont="1" applyFill="1" applyBorder="1" applyAlignment="1">
      <alignment horizontal="left" vertical="center" indent="1"/>
    </xf>
    <xf numFmtId="14" fontId="18" fillId="14" borderId="38" xfId="0" applyNumberFormat="1" applyFont="1" applyFill="1" applyBorder="1" applyAlignment="1">
      <alignment horizontal="center" vertical="center"/>
    </xf>
    <xf numFmtId="14" fontId="18" fillId="14" borderId="10" xfId="0" applyNumberFormat="1" applyFont="1" applyFill="1" applyBorder="1" applyAlignment="1">
      <alignment horizontal="center" vertical="center"/>
    </xf>
    <xf numFmtId="1" fontId="18" fillId="14" borderId="10" xfId="0" applyNumberFormat="1" applyFont="1" applyFill="1" applyBorder="1" applyAlignment="1">
      <alignment horizontal="center" vertical="center"/>
    </xf>
    <xf numFmtId="9" fontId="16" fillId="14" borderId="10" xfId="1" applyFont="1" applyFill="1" applyBorder="1" applyAlignment="1">
      <alignment horizontal="center" vertical="center"/>
    </xf>
    <xf numFmtId="49" fontId="18" fillId="17" borderId="15" xfId="0" applyNumberFormat="1" applyFont="1" applyFill="1" applyBorder="1" applyAlignment="1">
      <alignment horizontal="left" vertical="center" indent="1"/>
    </xf>
    <xf numFmtId="0" fontId="18" fillId="0" borderId="4" xfId="0" applyFont="1" applyBorder="1" applyAlignment="1">
      <alignment horizontal="left" vertical="center" indent="2"/>
    </xf>
    <xf numFmtId="0" fontId="18" fillId="0" borderId="24" xfId="0" applyFont="1" applyBorder="1" applyAlignment="1">
      <alignment horizontal="left" vertical="center" indent="1"/>
    </xf>
    <xf numFmtId="0" fontId="18" fillId="0" borderId="4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17" borderId="33" xfId="0" applyFont="1" applyFill="1" applyBorder="1" applyAlignment="1">
      <alignment horizontal="center" vertical="center"/>
    </xf>
    <xf numFmtId="0" fontId="18" fillId="0" borderId="26" xfId="0" applyFont="1" applyBorder="1" applyAlignment="1">
      <alignment horizontal="left" vertical="center" indent="2"/>
    </xf>
    <xf numFmtId="165" fontId="18" fillId="0" borderId="28" xfId="0" applyNumberFormat="1" applyFont="1" applyBorder="1" applyAlignment="1">
      <alignment horizontal="center" vertical="center"/>
    </xf>
    <xf numFmtId="165" fontId="18" fillId="0" borderId="1" xfId="0" applyNumberFormat="1" applyFont="1" applyBorder="1" applyAlignment="1">
      <alignment horizontal="center" vertical="center"/>
    </xf>
    <xf numFmtId="1" fontId="18" fillId="17" borderId="1" xfId="0" applyNumberFormat="1" applyFont="1" applyFill="1" applyBorder="1" applyAlignment="1">
      <alignment horizontal="center" vertical="center"/>
    </xf>
    <xf numFmtId="9" fontId="16" fillId="23" borderId="10" xfId="1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 indent="3"/>
    </xf>
    <xf numFmtId="0" fontId="18" fillId="0" borderId="24" xfId="0" applyFont="1" applyBorder="1" applyAlignment="1">
      <alignment horizontal="left" vertical="center" indent="2"/>
    </xf>
    <xf numFmtId="0" fontId="18" fillId="0" borderId="26" xfId="0" applyFont="1" applyBorder="1" applyAlignment="1">
      <alignment horizontal="left" vertical="center" indent="3"/>
    </xf>
    <xf numFmtId="0" fontId="18" fillId="14" borderId="26" xfId="0" applyFont="1" applyFill="1" applyBorder="1" applyAlignment="1">
      <alignment horizontal="left" vertical="center" indent="1"/>
    </xf>
    <xf numFmtId="165" fontId="18" fillId="14" borderId="28" xfId="0" applyNumberFormat="1" applyFont="1" applyFill="1" applyBorder="1" applyAlignment="1">
      <alignment horizontal="center" vertical="center"/>
    </xf>
    <xf numFmtId="165" fontId="18" fillId="14" borderId="1" xfId="0" applyNumberFormat="1" applyFont="1" applyFill="1" applyBorder="1" applyAlignment="1">
      <alignment horizontal="center" vertical="center"/>
    </xf>
    <xf numFmtId="14" fontId="18" fillId="14" borderId="1" xfId="0" applyNumberFormat="1" applyFont="1" applyFill="1" applyBorder="1" applyAlignment="1">
      <alignment horizontal="center" vertical="center"/>
    </xf>
    <xf numFmtId="0" fontId="18" fillId="0" borderId="42" xfId="0" applyFont="1" applyBorder="1" applyAlignment="1">
      <alignment horizontal="left" vertical="center" indent="1"/>
    </xf>
    <xf numFmtId="49" fontId="18" fillId="17" borderId="16" xfId="0" applyNumberFormat="1" applyFont="1" applyFill="1" applyBorder="1" applyAlignment="1">
      <alignment horizontal="left" vertical="center" indent="1"/>
    </xf>
    <xf numFmtId="0" fontId="18" fillId="0" borderId="6" xfId="0" applyFont="1" applyBorder="1" applyAlignment="1">
      <alignment horizontal="left" vertical="center" indent="2"/>
    </xf>
    <xf numFmtId="0" fontId="18" fillId="0" borderId="47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17" borderId="35" xfId="0" applyFont="1" applyFill="1" applyBorder="1" applyAlignment="1">
      <alignment horizontal="center" vertical="center"/>
    </xf>
    <xf numFmtId="0" fontId="18" fillId="0" borderId="27" xfId="0" applyFont="1" applyBorder="1" applyAlignment="1">
      <alignment horizontal="left" vertical="center" indent="2"/>
    </xf>
    <xf numFmtId="165" fontId="18" fillId="0" borderId="43" xfId="0" applyNumberFormat="1" applyFont="1" applyBorder="1" applyAlignment="1">
      <alignment horizontal="center" vertical="center"/>
    </xf>
    <xf numFmtId="165" fontId="18" fillId="0" borderId="7" xfId="0" applyNumberFormat="1" applyFont="1" applyBorder="1" applyAlignment="1">
      <alignment horizontal="center" vertical="center"/>
    </xf>
    <xf numFmtId="1" fontId="18" fillId="17" borderId="23" xfId="0" applyNumberFormat="1" applyFont="1" applyFill="1" applyBorder="1" applyAlignment="1">
      <alignment horizontal="center" vertical="center"/>
    </xf>
    <xf numFmtId="9" fontId="16" fillId="23" borderId="8" xfId="1" applyFont="1" applyFill="1" applyBorder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3" fillId="14" borderId="18" xfId="0" applyFont="1" applyFill="1" applyBorder="1" applyAlignment="1">
      <alignment horizontal="right" vertical="center" indent="1"/>
    </xf>
    <xf numFmtId="0" fontId="18" fillId="17" borderId="9" xfId="0" applyFont="1" applyFill="1" applyBorder="1" applyAlignment="1">
      <alignment horizontal="left" vertical="center" indent="1"/>
    </xf>
    <xf numFmtId="0" fontId="18" fillId="17" borderId="41" xfId="0" applyFont="1" applyFill="1" applyBorder="1" applyAlignment="1">
      <alignment horizontal="left" vertical="center" indent="2"/>
    </xf>
    <xf numFmtId="0" fontId="18" fillId="17" borderId="4" xfId="0" applyFont="1" applyFill="1" applyBorder="1" applyAlignment="1">
      <alignment horizontal="left" vertical="center" indent="1"/>
    </xf>
    <xf numFmtId="0" fontId="18" fillId="17" borderId="24" xfId="0" applyFont="1" applyFill="1" applyBorder="1" applyAlignment="1">
      <alignment horizontal="left" vertical="center" indent="1"/>
    </xf>
    <xf numFmtId="167" fontId="18" fillId="0" borderId="28" xfId="0" applyNumberFormat="1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8" fillId="17" borderId="67" xfId="0" applyFont="1" applyFill="1" applyBorder="1" applyAlignment="1">
      <alignment horizontal="center" vertical="center"/>
    </xf>
    <xf numFmtId="0" fontId="18" fillId="0" borderId="58" xfId="0" applyFont="1" applyBorder="1"/>
    <xf numFmtId="0" fontId="18" fillId="0" borderId="70" xfId="0" applyFont="1" applyBorder="1"/>
    <xf numFmtId="0" fontId="18" fillId="0" borderId="4" xfId="0" applyFont="1" applyBorder="1" applyAlignment="1">
      <alignment vertical="center"/>
    </xf>
    <xf numFmtId="49" fontId="18" fillId="3" borderId="15" xfId="0" applyNumberFormat="1" applyFont="1" applyFill="1" applyBorder="1" applyAlignment="1">
      <alignment horizontal="left" vertical="center" indent="1"/>
    </xf>
    <xf numFmtId="0" fontId="18" fillId="3" borderId="4" xfId="0" applyFont="1" applyFill="1" applyBorder="1" applyAlignment="1">
      <alignment horizontal="left" vertical="center" indent="1"/>
    </xf>
    <xf numFmtId="0" fontId="18" fillId="3" borderId="24" xfId="0" applyFont="1" applyFill="1" applyBorder="1" applyAlignment="1">
      <alignment horizontal="left" vertical="center" indent="1"/>
    </xf>
    <xf numFmtId="0" fontId="18" fillId="3" borderId="45" xfId="0" applyFont="1" applyFill="1" applyBorder="1" applyAlignment="1">
      <alignment horizontal="center" vertical="center"/>
    </xf>
    <xf numFmtId="0" fontId="18" fillId="3" borderId="18" xfId="0" applyFont="1" applyFill="1" applyBorder="1" applyAlignment="1">
      <alignment horizontal="center" vertical="center"/>
    </xf>
    <xf numFmtId="0" fontId="18" fillId="3" borderId="33" xfId="0" applyFont="1" applyFill="1" applyBorder="1" applyAlignment="1">
      <alignment horizontal="center" vertical="center"/>
    </xf>
    <xf numFmtId="0" fontId="18" fillId="3" borderId="26" xfId="0" applyFont="1" applyFill="1" applyBorder="1" applyAlignment="1">
      <alignment horizontal="left" vertical="center" indent="1"/>
    </xf>
    <xf numFmtId="9" fontId="16" fillId="0" borderId="10" xfId="1" applyFont="1" applyBorder="1" applyAlignment="1">
      <alignment horizontal="center" vertical="center"/>
    </xf>
    <xf numFmtId="49" fontId="18" fillId="3" borderId="14" xfId="0" applyNumberFormat="1" applyFont="1" applyFill="1" applyBorder="1" applyAlignment="1">
      <alignment horizontal="left" vertical="center" indent="1"/>
    </xf>
    <xf numFmtId="0" fontId="18" fillId="3" borderId="9" xfId="0" applyFont="1" applyFill="1" applyBorder="1" applyAlignment="1">
      <alignment horizontal="left" vertical="center" indent="1"/>
    </xf>
    <xf numFmtId="0" fontId="18" fillId="3" borderId="41" xfId="0" applyFont="1" applyFill="1" applyBorder="1" applyAlignment="1">
      <alignment horizontal="left" vertical="center" indent="2"/>
    </xf>
    <xf numFmtId="0" fontId="18" fillId="3" borderId="48" xfId="0" applyFont="1" applyFill="1" applyBorder="1" applyAlignment="1">
      <alignment horizontal="left" vertical="center" indent="1"/>
    </xf>
    <xf numFmtId="14" fontId="18" fillId="3" borderId="38" xfId="0" applyNumberFormat="1" applyFont="1" applyFill="1" applyBorder="1" applyAlignment="1">
      <alignment horizontal="center" vertical="center"/>
    </xf>
    <xf numFmtId="1" fontId="18" fillId="3" borderId="10" xfId="0" applyNumberFormat="1" applyFont="1" applyFill="1" applyBorder="1" applyAlignment="1">
      <alignment horizontal="center" vertical="center"/>
    </xf>
    <xf numFmtId="0" fontId="18" fillId="0" borderId="6" xfId="0" applyFont="1" applyBorder="1" applyAlignment="1">
      <alignment vertical="center"/>
    </xf>
    <xf numFmtId="0" fontId="0" fillId="0" borderId="71" xfId="0" applyBorder="1" applyAlignment="1">
      <alignment horizontal="left" vertical="center"/>
    </xf>
    <xf numFmtId="0" fontId="0" fillId="0" borderId="0" xfId="0" applyAlignment="1">
      <alignment horizontal="center" vertical="top"/>
    </xf>
    <xf numFmtId="14" fontId="18" fillId="0" borderId="38" xfId="0" applyNumberFormat="1" applyFont="1" applyBorder="1" applyAlignment="1">
      <alignment horizontal="center" vertical="center"/>
    </xf>
    <xf numFmtId="0" fontId="18" fillId="0" borderId="26" xfId="0" applyFont="1" applyBorder="1" applyAlignment="1">
      <alignment horizontal="left" vertical="center" indent="1"/>
    </xf>
    <xf numFmtId="1" fontId="18" fillId="0" borderId="1" xfId="0" applyNumberFormat="1" applyFont="1" applyBorder="1" applyAlignment="1">
      <alignment horizontal="center" vertical="center"/>
    </xf>
    <xf numFmtId="1" fontId="18" fillId="0" borderId="23" xfId="0" applyNumberFormat="1" applyFont="1" applyBorder="1" applyAlignment="1">
      <alignment horizontal="center" vertical="center"/>
    </xf>
    <xf numFmtId="0" fontId="20" fillId="0" borderId="71" xfId="0" applyFont="1" applyBorder="1" applyAlignment="1">
      <alignment horizontal="right" vertical="center"/>
    </xf>
    <xf numFmtId="0" fontId="21" fillId="0" borderId="71" xfId="0" applyFont="1" applyBorder="1" applyAlignment="1">
      <alignment horizontal="center" vertical="center"/>
    </xf>
    <xf numFmtId="0" fontId="29" fillId="0" borderId="71" xfId="0" applyFont="1" applyBorder="1" applyAlignment="1">
      <alignment horizontal="center" vertical="center"/>
    </xf>
    <xf numFmtId="166" fontId="21" fillId="0" borderId="71" xfId="0" applyNumberFormat="1" applyFont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18" fillId="0" borderId="66" xfId="0" applyFont="1" applyBorder="1" applyAlignment="1">
      <alignment horizontal="center" vertical="center"/>
    </xf>
    <xf numFmtId="0" fontId="18" fillId="0" borderId="68" xfId="0" applyFont="1" applyBorder="1" applyAlignment="1">
      <alignment horizontal="left" vertical="center" indent="1"/>
    </xf>
    <xf numFmtId="165" fontId="18" fillId="0" borderId="69" xfId="0" applyNumberFormat="1" applyFont="1" applyBorder="1" applyAlignment="1">
      <alignment horizontal="center" vertical="center"/>
    </xf>
    <xf numFmtId="0" fontId="12" fillId="0" borderId="71" xfId="0" applyFont="1" applyBorder="1"/>
    <xf numFmtId="0" fontId="19" fillId="0" borderId="71" xfId="0" applyFont="1" applyBorder="1" applyAlignment="1">
      <alignment horizontal="center" vertical="center"/>
    </xf>
    <xf numFmtId="0" fontId="35" fillId="35" borderId="71" xfId="0" applyFont="1" applyFill="1" applyBorder="1" applyAlignment="1">
      <alignment horizontal="center" vertical="center"/>
    </xf>
    <xf numFmtId="0" fontId="33" fillId="0" borderId="0" xfId="6" applyFill="1" applyBorder="1" applyAlignment="1">
      <alignment vertical="center"/>
    </xf>
    <xf numFmtId="0" fontId="36" fillId="33" borderId="72" xfId="6" applyFont="1" applyFill="1" applyBorder="1" applyAlignment="1">
      <alignment horizontal="center" vertical="center"/>
    </xf>
    <xf numFmtId="0" fontId="37" fillId="28" borderId="0" xfId="0" applyFont="1" applyFill="1" applyAlignment="1">
      <alignment horizontal="center" vertical="center"/>
    </xf>
    <xf numFmtId="0" fontId="37" fillId="34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/>
    </xf>
    <xf numFmtId="0" fontId="0" fillId="0" borderId="0" xfId="0"/>
    <xf numFmtId="165" fontId="18" fillId="0" borderId="38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0" fontId="0" fillId="0" borderId="0" xfId="0"/>
    <xf numFmtId="0" fontId="0" fillId="0" borderId="0" xfId="0" applyAlignment="1">
      <alignment vertical="center"/>
    </xf>
    <xf numFmtId="0" fontId="15" fillId="0" borderId="10" xfId="0" applyFont="1" applyBorder="1" applyAlignment="1">
      <alignment horizontal="center" vertical="center"/>
    </xf>
    <xf numFmtId="0" fontId="0" fillId="0" borderId="62" xfId="0" applyBorder="1"/>
    <xf numFmtId="0" fontId="0" fillId="0" borderId="38" xfId="0" applyBorder="1"/>
    <xf numFmtId="0" fontId="14" fillId="14" borderId="63" xfId="0" applyFont="1" applyFill="1" applyBorder="1" applyAlignment="1">
      <alignment horizontal="center" vertical="center" wrapText="1"/>
    </xf>
    <xf numFmtId="0" fontId="0" fillId="0" borderId="13" xfId="0" applyBorder="1"/>
    <xf numFmtId="0" fontId="13" fillId="14" borderId="25" xfId="0" applyFont="1" applyFill="1" applyBorder="1" applyAlignment="1">
      <alignment horizontal="center" vertical="center" wrapText="1"/>
    </xf>
    <xf numFmtId="0" fontId="0" fillId="0" borderId="48" xfId="0" applyBorder="1"/>
    <xf numFmtId="0" fontId="13" fillId="14" borderId="40" xfId="0" applyFont="1" applyFill="1" applyBorder="1" applyAlignment="1">
      <alignment horizontal="left" vertical="center" wrapText="1" indent="1"/>
    </xf>
    <xf numFmtId="0" fontId="0" fillId="0" borderId="41" xfId="0" applyBorder="1"/>
    <xf numFmtId="0" fontId="13" fillId="14" borderId="37" xfId="0" applyFont="1" applyFill="1" applyBorder="1" applyAlignment="1">
      <alignment horizontal="center" vertical="center" wrapText="1"/>
    </xf>
    <xf numFmtId="0" fontId="13" fillId="14" borderId="3" xfId="0" applyFont="1" applyFill="1" applyBorder="1" applyAlignment="1">
      <alignment horizontal="center" vertical="center" wrapText="1"/>
    </xf>
    <xf numFmtId="0" fontId="0" fillId="0" borderId="10" xfId="0" applyBorder="1"/>
    <xf numFmtId="0" fontId="13" fillId="14" borderId="2" xfId="0" applyFont="1" applyFill="1" applyBorder="1" applyAlignment="1">
      <alignment horizontal="left" vertical="center" wrapText="1" indent="1"/>
    </xf>
    <xf numFmtId="0" fontId="0" fillId="0" borderId="9" xfId="0" applyBorder="1"/>
    <xf numFmtId="0" fontId="32" fillId="0" borderId="0" xfId="5" applyFont="1" applyAlignment="1">
      <alignment horizontal="center" vertical="center"/>
    </xf>
    <xf numFmtId="0" fontId="0" fillId="0" borderId="0" xfId="0"/>
    <xf numFmtId="0" fontId="0" fillId="0" borderId="0" xfId="0" applyAlignment="1">
      <alignment vertical="center"/>
    </xf>
    <xf numFmtId="0" fontId="13" fillId="14" borderId="44" xfId="0" applyFont="1" applyFill="1" applyBorder="1" applyAlignment="1">
      <alignment horizontal="center" vertical="center" wrapText="1"/>
    </xf>
    <xf numFmtId="0" fontId="0" fillId="0" borderId="59" xfId="0" applyBorder="1"/>
    <xf numFmtId="0" fontId="0" fillId="0" borderId="60" xfId="0" applyBorder="1"/>
    <xf numFmtId="0" fontId="13" fillId="14" borderId="61" xfId="0" applyFont="1" applyFill="1" applyBorder="1" applyAlignment="1">
      <alignment horizontal="center" vertical="center" wrapText="1"/>
    </xf>
    <xf numFmtId="0" fontId="0" fillId="0" borderId="32" xfId="0" applyBorder="1"/>
    <xf numFmtId="0" fontId="0" fillId="0" borderId="36" xfId="0" applyBorder="1"/>
    <xf numFmtId="0" fontId="13" fillId="14" borderId="10" xfId="0" applyFont="1" applyFill="1" applyBorder="1" applyAlignment="1">
      <alignment horizontal="center" vertical="center" wrapText="1"/>
    </xf>
    <xf numFmtId="0" fontId="13" fillId="14" borderId="29" xfId="0" applyFont="1" applyFill="1" applyBorder="1" applyAlignment="1">
      <alignment horizontal="center" vertical="center" wrapText="1"/>
    </xf>
    <xf numFmtId="0" fontId="0" fillId="0" borderId="29" xfId="0" applyBorder="1"/>
    <xf numFmtId="0" fontId="15" fillId="2" borderId="9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6" borderId="9" xfId="0" applyFont="1" applyFill="1" applyBorder="1" applyAlignment="1">
      <alignment horizontal="center" vertical="center"/>
    </xf>
    <xf numFmtId="0" fontId="15" fillId="4" borderId="9" xfId="0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center" vertical="center"/>
    </xf>
    <xf numFmtId="0" fontId="15" fillId="6" borderId="10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</cellXfs>
  <cellStyles count="7">
    <cellStyle name="Entrada" xfId="6" builtinId="20"/>
    <cellStyle name="Hipervínculo" xfId="2" builtinId="8" hidden="1"/>
    <cellStyle name="Hipervínculo" xfId="5" builtinId="8"/>
    <cellStyle name="Hipervínculo visitado" xfId="3" builtinId="9" hidden="1"/>
    <cellStyle name="Normal" xfId="0" builtinId="0"/>
    <cellStyle name="Normal 2" xfId="4" xr:uid="{00000000-0005-0000-0000-000004000000}"/>
    <cellStyle name="Porcentaje" xfId="1" builtinId="5"/>
  </cellStyles>
  <dxfs count="4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fgColor auto="1"/>
          <bgColor theme="1" tint="0.49998474074526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'Sprint 1'!$L$44</c:f>
              <c:strCache>
                <c:ptCount val="1"/>
                <c:pt idx="0">
                  <c:v>HRS COMPLETADO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75000"/>
                  </a:schemeClr>
                </a:gs>
                <a:gs pos="100000">
                  <a:schemeClr val="accent5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1'!$M$41:$BT$41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1'!$M$44:$BT$44</c:f>
              <c:numCache>
                <c:formatCode>General</c:formatCode>
                <c:ptCount val="60"/>
                <c:pt idx="0">
                  <c:v>8</c:v>
                </c:pt>
                <c:pt idx="1">
                  <c:v>12</c:v>
                </c:pt>
                <c:pt idx="2">
                  <c:v>8</c:v>
                </c:pt>
                <c:pt idx="3">
                  <c:v>9</c:v>
                </c:pt>
                <c:pt idx="4">
                  <c:v>4</c:v>
                </c:pt>
                <c:pt idx="5">
                  <c:v>1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7C-4385-845E-27D9B3607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axId val="1150741088"/>
        <c:axId val="1179485168"/>
      </c:barChart>
      <c:lineChart>
        <c:grouping val="standard"/>
        <c:varyColors val="0"/>
        <c:ser>
          <c:idx val="3"/>
          <c:order val="1"/>
          <c:tx>
            <c:strRef>
              <c:f>'Sprint 1'!$L$42</c:f>
              <c:strCache>
                <c:ptCount val="1"/>
                <c:pt idx="0">
                  <c:v>PLAN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1'!$M$41:$BT$41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1'!$M$42:$BT$42</c:f>
              <c:numCache>
                <c:formatCode>0</c:formatCode>
                <c:ptCount val="60"/>
                <c:pt idx="0" formatCode="General">
                  <c:v>52</c:v>
                </c:pt>
                <c:pt idx="1">
                  <c:v>44.571428571428569</c:v>
                </c:pt>
                <c:pt idx="2">
                  <c:v>37.142857142857139</c:v>
                </c:pt>
                <c:pt idx="3">
                  <c:v>29.714285714285708</c:v>
                </c:pt>
                <c:pt idx="4">
                  <c:v>22.285714285714278</c:v>
                </c:pt>
                <c:pt idx="5">
                  <c:v>14.857142857142849</c:v>
                </c:pt>
                <c:pt idx="6">
                  <c:v>7.4285714285714199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7C-4385-845E-27D9B3607C5D}"/>
            </c:ext>
          </c:extLst>
        </c:ser>
        <c:ser>
          <c:idx val="4"/>
          <c:order val="2"/>
          <c:tx>
            <c:strRef>
              <c:f>'Sprint 1'!$L$43</c:f>
              <c:strCache>
                <c:ptCount val="1"/>
                <c:pt idx="0">
                  <c:v>ESTIMAR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1'!$M$41:$BT$41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1'!$M$43:$BT$43</c:f>
              <c:numCache>
                <c:formatCode>General</c:formatCode>
                <c:ptCount val="60"/>
                <c:pt idx="0">
                  <c:v>52</c:v>
                </c:pt>
                <c:pt idx="1">
                  <c:v>44</c:v>
                </c:pt>
                <c:pt idx="2">
                  <c:v>32</c:v>
                </c:pt>
                <c:pt idx="3">
                  <c:v>24</c:v>
                </c:pt>
                <c:pt idx="4">
                  <c:v>15</c:v>
                </c:pt>
                <c:pt idx="5">
                  <c:v>11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7C-4385-845E-27D9B3607C5D}"/>
            </c:ext>
          </c:extLst>
        </c:ser>
        <c:ser>
          <c:idx val="5"/>
          <c:order val="3"/>
          <c:tx>
            <c:strRef>
              <c:f>'Sprint 1'!$L$45</c:f>
              <c:strCache>
                <c:ptCount val="1"/>
                <c:pt idx="0">
                  <c:v>HRS RESTANTE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1'!$M$41:$BT$41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1'!$M$45:$BT$45</c:f>
              <c:numCache>
                <c:formatCode>General</c:formatCode>
                <c:ptCount val="60"/>
                <c:pt idx="0">
                  <c:v>44</c:v>
                </c:pt>
                <c:pt idx="1">
                  <c:v>32</c:v>
                </c:pt>
                <c:pt idx="2">
                  <c:v>24</c:v>
                </c:pt>
                <c:pt idx="3">
                  <c:v>15</c:v>
                </c:pt>
                <c:pt idx="4">
                  <c:v>11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7C-4385-845E-27D9B3607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770320"/>
        <c:axId val="1180774800"/>
      </c:lineChart>
      <c:catAx>
        <c:axId val="11507410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485168"/>
        <c:crosses val="autoZero"/>
        <c:auto val="1"/>
        <c:lblAlgn val="ctr"/>
        <c:lblOffset val="100"/>
        <c:noMultiLvlLbl val="0"/>
      </c:catAx>
      <c:valAx>
        <c:axId val="1179485168"/>
        <c:scaling>
          <c:orientation val="minMax"/>
          <c:max val="52"/>
          <c:min val="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50741088"/>
        <c:crosses val="max"/>
        <c:crossBetween val="between"/>
      </c:valAx>
      <c:dateAx>
        <c:axId val="11807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4800"/>
        <c:crosses val="autoZero"/>
        <c:auto val="0"/>
        <c:lblOffset val="100"/>
        <c:baseTimeUnit val="days"/>
      </c:dateAx>
      <c:valAx>
        <c:axId val="1180774800"/>
        <c:scaling>
          <c:orientation val="minMax"/>
          <c:max val="5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0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'Sprint 2'!$L$44</c:f>
              <c:strCache>
                <c:ptCount val="1"/>
                <c:pt idx="0">
                  <c:v>HRS COMPLETADO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75000"/>
                  </a:schemeClr>
                </a:gs>
                <a:gs pos="100000">
                  <a:schemeClr val="accent5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2'!$M$41:$BT$41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2'!$M$44:$BT$44</c:f>
              <c:numCache>
                <c:formatCode>General</c:formatCode>
                <c:ptCount val="60"/>
                <c:pt idx="0">
                  <c:v>0</c:v>
                </c:pt>
                <c:pt idx="1">
                  <c:v>12</c:v>
                </c:pt>
                <c:pt idx="2">
                  <c:v>10</c:v>
                </c:pt>
                <c:pt idx="3">
                  <c:v>4</c:v>
                </c:pt>
                <c:pt idx="4">
                  <c:v>12</c:v>
                </c:pt>
                <c:pt idx="5">
                  <c:v>6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0C-45E1-9D14-1DE08D73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axId val="1150741088"/>
        <c:axId val="1179485168"/>
      </c:barChart>
      <c:lineChart>
        <c:grouping val="standard"/>
        <c:varyColors val="0"/>
        <c:ser>
          <c:idx val="3"/>
          <c:order val="1"/>
          <c:tx>
            <c:strRef>
              <c:f>'Sprint 2'!$L$42</c:f>
              <c:strCache>
                <c:ptCount val="1"/>
                <c:pt idx="0">
                  <c:v>PLAN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2'!$M$41:$BT$41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2'!$M$42:$BT$42</c:f>
              <c:numCache>
                <c:formatCode>0</c:formatCode>
                <c:ptCount val="60"/>
                <c:pt idx="0" formatCode="General">
                  <c:v>56</c:v>
                </c:pt>
                <c:pt idx="1">
                  <c:v>48</c:v>
                </c:pt>
                <c:pt idx="2">
                  <c:v>40</c:v>
                </c:pt>
                <c:pt idx="3">
                  <c:v>32</c:v>
                </c:pt>
                <c:pt idx="4">
                  <c:v>24</c:v>
                </c:pt>
                <c:pt idx="5">
                  <c:v>16</c:v>
                </c:pt>
                <c:pt idx="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0C-45E1-9D14-1DE08D739677}"/>
            </c:ext>
          </c:extLst>
        </c:ser>
        <c:ser>
          <c:idx val="4"/>
          <c:order val="2"/>
          <c:tx>
            <c:strRef>
              <c:f>'Sprint 2'!$L$43</c:f>
              <c:strCache>
                <c:ptCount val="1"/>
                <c:pt idx="0">
                  <c:v>ESTIMAR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2'!$M$41:$BT$41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2'!$M$43:$BT$43</c:f>
              <c:numCache>
                <c:formatCode>General</c:formatCode>
                <c:ptCount val="60"/>
                <c:pt idx="0">
                  <c:v>56</c:v>
                </c:pt>
                <c:pt idx="1">
                  <c:v>56</c:v>
                </c:pt>
                <c:pt idx="2">
                  <c:v>44</c:v>
                </c:pt>
                <c:pt idx="3">
                  <c:v>34</c:v>
                </c:pt>
                <c:pt idx="4">
                  <c:v>30</c:v>
                </c:pt>
                <c:pt idx="5">
                  <c:v>18</c:v>
                </c:pt>
                <c:pt idx="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0C-45E1-9D14-1DE08D739677}"/>
            </c:ext>
          </c:extLst>
        </c:ser>
        <c:ser>
          <c:idx val="5"/>
          <c:order val="3"/>
          <c:tx>
            <c:strRef>
              <c:f>'Sprint 2'!$L$45</c:f>
              <c:strCache>
                <c:ptCount val="1"/>
                <c:pt idx="0">
                  <c:v>HRS RESTANTE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2'!$M$41:$BT$41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2'!$M$45:$BT$45</c:f>
              <c:numCache>
                <c:formatCode>General</c:formatCode>
                <c:ptCount val="60"/>
                <c:pt idx="0">
                  <c:v>56</c:v>
                </c:pt>
                <c:pt idx="1">
                  <c:v>44</c:v>
                </c:pt>
                <c:pt idx="2">
                  <c:v>34</c:v>
                </c:pt>
                <c:pt idx="3">
                  <c:v>30</c:v>
                </c:pt>
                <c:pt idx="4">
                  <c:v>18</c:v>
                </c:pt>
                <c:pt idx="5">
                  <c:v>12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0C-45E1-9D14-1DE08D73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770320"/>
        <c:axId val="1180774800"/>
      </c:lineChart>
      <c:catAx>
        <c:axId val="11507410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485168"/>
        <c:crosses val="autoZero"/>
        <c:auto val="1"/>
        <c:lblAlgn val="ctr"/>
        <c:lblOffset val="100"/>
        <c:noMultiLvlLbl val="0"/>
      </c:catAx>
      <c:valAx>
        <c:axId val="1179485168"/>
        <c:scaling>
          <c:orientation val="minMax"/>
          <c:max val="52"/>
          <c:min val="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50741088"/>
        <c:crosses val="max"/>
        <c:crossBetween val="between"/>
      </c:valAx>
      <c:dateAx>
        <c:axId val="11807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4800"/>
        <c:crosses val="autoZero"/>
        <c:auto val="0"/>
        <c:lblOffset val="100"/>
        <c:baseTimeUnit val="days"/>
      </c:dateAx>
      <c:valAx>
        <c:axId val="1180774800"/>
        <c:scaling>
          <c:orientation val="minMax"/>
          <c:max val="5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0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'Sprint 3'!$L$38</c:f>
              <c:strCache>
                <c:ptCount val="1"/>
                <c:pt idx="0">
                  <c:v>HRS COMPLETADO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75000"/>
                  </a:schemeClr>
                </a:gs>
                <a:gs pos="100000">
                  <a:schemeClr val="accent5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3'!$M$35:$BT$35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3'!$M$38:$BT$38</c:f>
              <c:numCache>
                <c:formatCode>General</c:formatCode>
                <c:ptCount val="60"/>
                <c:pt idx="0">
                  <c:v>0</c:v>
                </c:pt>
                <c:pt idx="1">
                  <c:v>14</c:v>
                </c:pt>
                <c:pt idx="2">
                  <c:v>10</c:v>
                </c:pt>
                <c:pt idx="3">
                  <c:v>12</c:v>
                </c:pt>
                <c:pt idx="4">
                  <c:v>4</c:v>
                </c:pt>
                <c:pt idx="5">
                  <c:v>2</c:v>
                </c:pt>
                <c:pt idx="6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0-4EFA-A98D-2C5C844A4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axId val="1150741088"/>
        <c:axId val="1179485168"/>
      </c:barChart>
      <c:lineChart>
        <c:grouping val="standard"/>
        <c:varyColors val="0"/>
        <c:ser>
          <c:idx val="3"/>
          <c:order val="1"/>
          <c:tx>
            <c:strRef>
              <c:f>'Sprint 3'!$L$36</c:f>
              <c:strCache>
                <c:ptCount val="1"/>
                <c:pt idx="0">
                  <c:v>PLAN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3'!$M$35:$BT$35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3'!$M$36:$BT$36</c:f>
              <c:numCache>
                <c:formatCode>0</c:formatCode>
                <c:ptCount val="60"/>
                <c:pt idx="0" formatCode="General">
                  <c:v>60</c:v>
                </c:pt>
                <c:pt idx="1">
                  <c:v>51.428571428571431</c:v>
                </c:pt>
                <c:pt idx="2">
                  <c:v>42.857142857142861</c:v>
                </c:pt>
                <c:pt idx="3">
                  <c:v>34.285714285714292</c:v>
                </c:pt>
                <c:pt idx="4">
                  <c:v>25.714285714285722</c:v>
                </c:pt>
                <c:pt idx="5">
                  <c:v>17.142857142857153</c:v>
                </c:pt>
                <c:pt idx="6">
                  <c:v>8.5714285714285818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40-4EFA-A98D-2C5C844A42AF}"/>
            </c:ext>
          </c:extLst>
        </c:ser>
        <c:ser>
          <c:idx val="4"/>
          <c:order val="2"/>
          <c:tx>
            <c:strRef>
              <c:f>'Sprint 3'!$L$37</c:f>
              <c:strCache>
                <c:ptCount val="1"/>
                <c:pt idx="0">
                  <c:v>ESTIMAR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3'!$M$35:$BT$35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3'!$M$37:$BT$37</c:f>
              <c:numCache>
                <c:formatCode>General</c:formatCode>
                <c:ptCount val="60"/>
                <c:pt idx="0">
                  <c:v>60</c:v>
                </c:pt>
                <c:pt idx="1">
                  <c:v>60</c:v>
                </c:pt>
                <c:pt idx="2">
                  <c:v>46</c:v>
                </c:pt>
                <c:pt idx="3">
                  <c:v>36</c:v>
                </c:pt>
                <c:pt idx="4">
                  <c:v>24</c:v>
                </c:pt>
                <c:pt idx="5">
                  <c:v>20</c:v>
                </c:pt>
                <c:pt idx="6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40-4EFA-A98D-2C5C844A42AF}"/>
            </c:ext>
          </c:extLst>
        </c:ser>
        <c:ser>
          <c:idx val="5"/>
          <c:order val="3"/>
          <c:tx>
            <c:strRef>
              <c:f>'Sprint 3'!$L$39</c:f>
              <c:strCache>
                <c:ptCount val="1"/>
                <c:pt idx="0">
                  <c:v>HRS RESTANTE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3'!$M$35:$BT$35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3'!$M$39:$BT$39</c:f>
              <c:numCache>
                <c:formatCode>General</c:formatCode>
                <c:ptCount val="60"/>
                <c:pt idx="0">
                  <c:v>60</c:v>
                </c:pt>
                <c:pt idx="1">
                  <c:v>46</c:v>
                </c:pt>
                <c:pt idx="2">
                  <c:v>36</c:v>
                </c:pt>
                <c:pt idx="3">
                  <c:v>24</c:v>
                </c:pt>
                <c:pt idx="4">
                  <c:v>20</c:v>
                </c:pt>
                <c:pt idx="5">
                  <c:v>18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C40-4EFA-A98D-2C5C844A4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770320"/>
        <c:axId val="1180774800"/>
      </c:lineChart>
      <c:catAx>
        <c:axId val="11507410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485168"/>
        <c:crosses val="autoZero"/>
        <c:auto val="1"/>
        <c:lblAlgn val="ctr"/>
        <c:lblOffset val="100"/>
        <c:noMultiLvlLbl val="0"/>
      </c:catAx>
      <c:valAx>
        <c:axId val="1179485168"/>
        <c:scaling>
          <c:orientation val="minMax"/>
          <c:max val="52"/>
          <c:min val="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50741088"/>
        <c:crosses val="max"/>
        <c:crossBetween val="between"/>
      </c:valAx>
      <c:dateAx>
        <c:axId val="11807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4800"/>
        <c:crosses val="autoZero"/>
        <c:auto val="0"/>
        <c:lblOffset val="100"/>
        <c:baseTimeUnit val="days"/>
      </c:dateAx>
      <c:valAx>
        <c:axId val="1180774800"/>
        <c:scaling>
          <c:orientation val="minMax"/>
          <c:max val="5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0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'Sprint 4'!$L$46</c:f>
              <c:strCache>
                <c:ptCount val="1"/>
                <c:pt idx="0">
                  <c:v>HRS COMPLETADO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75000"/>
                  </a:schemeClr>
                </a:gs>
                <a:gs pos="100000">
                  <a:schemeClr val="accent5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4'!$M$43:$BT$43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4'!$M$46:$BT$46</c:f>
              <c:numCache>
                <c:formatCode>General</c:formatCode>
                <c:ptCount val="60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4</c:v>
                </c:pt>
                <c:pt idx="5">
                  <c:v>7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2B-4838-9BB5-61590BD4C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axId val="1150741088"/>
        <c:axId val="1179485168"/>
      </c:barChart>
      <c:lineChart>
        <c:grouping val="standard"/>
        <c:varyColors val="0"/>
        <c:ser>
          <c:idx val="3"/>
          <c:order val="1"/>
          <c:tx>
            <c:strRef>
              <c:f>'Sprint 4'!$L$44</c:f>
              <c:strCache>
                <c:ptCount val="1"/>
                <c:pt idx="0">
                  <c:v>PLAN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4'!$M$43:$BT$43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4'!$M$44:$BT$44</c:f>
              <c:numCache>
                <c:formatCode>0</c:formatCode>
                <c:ptCount val="60"/>
                <c:pt idx="0" formatCode="General">
                  <c:v>40</c:v>
                </c:pt>
                <c:pt idx="1">
                  <c:v>34.285714285714285</c:v>
                </c:pt>
                <c:pt idx="2">
                  <c:v>28.571428571428569</c:v>
                </c:pt>
                <c:pt idx="3">
                  <c:v>22.857142857142854</c:v>
                </c:pt>
                <c:pt idx="4">
                  <c:v>17.142857142857139</c:v>
                </c:pt>
                <c:pt idx="5">
                  <c:v>11.428571428571423</c:v>
                </c:pt>
                <c:pt idx="6">
                  <c:v>5.7142857142857091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2B-4838-9BB5-61590BD4C9B8}"/>
            </c:ext>
          </c:extLst>
        </c:ser>
        <c:ser>
          <c:idx val="4"/>
          <c:order val="2"/>
          <c:tx>
            <c:strRef>
              <c:f>'Sprint 4'!$L$45</c:f>
              <c:strCache>
                <c:ptCount val="1"/>
                <c:pt idx="0">
                  <c:v>ESTIMAR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4'!$M$43:$BT$43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4'!$M$45:$BT$45</c:f>
              <c:numCache>
                <c:formatCode>General</c:formatCode>
                <c:ptCount val="60"/>
                <c:pt idx="0">
                  <c:v>40</c:v>
                </c:pt>
                <c:pt idx="1">
                  <c:v>34</c:v>
                </c:pt>
                <c:pt idx="2">
                  <c:v>30</c:v>
                </c:pt>
                <c:pt idx="3">
                  <c:v>24</c:v>
                </c:pt>
                <c:pt idx="4">
                  <c:v>16</c:v>
                </c:pt>
                <c:pt idx="5">
                  <c:v>12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C2B-4838-9BB5-61590BD4C9B8}"/>
            </c:ext>
          </c:extLst>
        </c:ser>
        <c:ser>
          <c:idx val="5"/>
          <c:order val="3"/>
          <c:tx>
            <c:strRef>
              <c:f>'Sprint 4'!$L$47</c:f>
              <c:strCache>
                <c:ptCount val="1"/>
                <c:pt idx="0">
                  <c:v>HRS RESTANTE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4'!$M$43:$BT$43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'Sprint 4'!$M$47:$BT$47</c:f>
              <c:numCache>
                <c:formatCode>General</c:formatCode>
                <c:ptCount val="60"/>
                <c:pt idx="0">
                  <c:v>34</c:v>
                </c:pt>
                <c:pt idx="1">
                  <c:v>30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C2B-4838-9BB5-61590BD4C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770320"/>
        <c:axId val="1180774800"/>
      </c:lineChart>
      <c:catAx>
        <c:axId val="11507410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485168"/>
        <c:crosses val="autoZero"/>
        <c:auto val="1"/>
        <c:lblAlgn val="ctr"/>
        <c:lblOffset val="100"/>
        <c:noMultiLvlLbl val="0"/>
      </c:catAx>
      <c:valAx>
        <c:axId val="1179485168"/>
        <c:scaling>
          <c:orientation val="minMax"/>
          <c:max val="52"/>
          <c:min val="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50741088"/>
        <c:crosses val="max"/>
        <c:crossBetween val="between"/>
      </c:valAx>
      <c:dateAx>
        <c:axId val="11807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4800"/>
        <c:crosses val="autoZero"/>
        <c:auto val="0"/>
        <c:lblOffset val="100"/>
        <c:baseTimeUnit val="days"/>
      </c:dateAx>
      <c:valAx>
        <c:axId val="1180774800"/>
        <c:scaling>
          <c:orientation val="minMax"/>
          <c:max val="5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0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'Sprint 5'!$L$30</c:f>
              <c:strCache>
                <c:ptCount val="1"/>
                <c:pt idx="0">
                  <c:v>HRS COMPLETADO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75000"/>
                  </a:schemeClr>
                </a:gs>
                <a:gs pos="100000">
                  <a:schemeClr val="accent5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'Sprint 5'!$M$27:$BT$27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'Sprint 5'!$M$30:$BT$30</c:f>
              <c:numCache>
                <c:formatCode>General</c:formatCode>
                <c:ptCount val="60"/>
                <c:pt idx="0">
                  <c:v>12</c:v>
                </c:pt>
                <c:pt idx="1">
                  <c:v>10</c:v>
                </c:pt>
                <c:pt idx="2">
                  <c:v>11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92-4634-8355-B1C038EDB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axId val="1150741088"/>
        <c:axId val="1179485168"/>
      </c:barChart>
      <c:lineChart>
        <c:grouping val="standard"/>
        <c:varyColors val="0"/>
        <c:ser>
          <c:idx val="3"/>
          <c:order val="1"/>
          <c:tx>
            <c:strRef>
              <c:f>'Sprint 5'!$L$28</c:f>
              <c:strCache>
                <c:ptCount val="1"/>
                <c:pt idx="0">
                  <c:v>PLAN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5'!$M$27:$BT$27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'Sprint 5'!$M$28:$BT$28</c:f>
              <c:numCache>
                <c:formatCode>0</c:formatCode>
                <c:ptCount val="60"/>
                <c:pt idx="0" formatCode="General">
                  <c:v>36</c:v>
                </c:pt>
                <c:pt idx="1">
                  <c:v>28.8</c:v>
                </c:pt>
                <c:pt idx="2">
                  <c:v>21.6</c:v>
                </c:pt>
                <c:pt idx="3">
                  <c:v>14.400000000000002</c:v>
                </c:pt>
                <c:pt idx="4">
                  <c:v>7.200000000000002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92-4634-8355-B1C038EDB366}"/>
            </c:ext>
          </c:extLst>
        </c:ser>
        <c:ser>
          <c:idx val="4"/>
          <c:order val="2"/>
          <c:tx>
            <c:strRef>
              <c:f>'Sprint 5'!$L$29</c:f>
              <c:strCache>
                <c:ptCount val="1"/>
                <c:pt idx="0">
                  <c:v>ESTIMAR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5'!$M$27:$BT$27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'Sprint 5'!$M$29:$BT$29</c:f>
              <c:numCache>
                <c:formatCode>General</c:formatCode>
                <c:ptCount val="60"/>
                <c:pt idx="0">
                  <c:v>36</c:v>
                </c:pt>
                <c:pt idx="1">
                  <c:v>24</c:v>
                </c:pt>
                <c:pt idx="2">
                  <c:v>14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92-4634-8355-B1C038EDB366}"/>
            </c:ext>
          </c:extLst>
        </c:ser>
        <c:ser>
          <c:idx val="5"/>
          <c:order val="3"/>
          <c:tx>
            <c:strRef>
              <c:f>'Sprint 5'!$L$31</c:f>
              <c:strCache>
                <c:ptCount val="1"/>
                <c:pt idx="0">
                  <c:v>HRS RESTANTE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'Sprint 5'!$M$27:$BT$27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'Sprint 5'!$M$31:$BT$31</c:f>
              <c:numCache>
                <c:formatCode>General</c:formatCode>
                <c:ptCount val="60"/>
                <c:pt idx="0">
                  <c:v>24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92-4634-8355-B1C038EDB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770320"/>
        <c:axId val="1180774800"/>
      </c:lineChart>
      <c:catAx>
        <c:axId val="11507410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485168"/>
        <c:crosses val="autoZero"/>
        <c:auto val="1"/>
        <c:lblAlgn val="ctr"/>
        <c:lblOffset val="100"/>
        <c:noMultiLvlLbl val="0"/>
      </c:catAx>
      <c:valAx>
        <c:axId val="1179485168"/>
        <c:scaling>
          <c:orientation val="minMax"/>
          <c:max val="36"/>
          <c:min val="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50741088"/>
        <c:crosses val="max"/>
        <c:crossBetween val="between"/>
      </c:valAx>
      <c:dateAx>
        <c:axId val="11807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4800"/>
        <c:crosses val="autoZero"/>
        <c:auto val="0"/>
        <c:lblOffset val="100"/>
        <c:baseTimeUnit val="days"/>
        <c:majorUnit val="1"/>
        <c:majorTimeUnit val="days"/>
        <c:minorUnit val="1"/>
        <c:minorTimeUnit val="days"/>
      </c:dateAx>
      <c:valAx>
        <c:axId val="1180774800"/>
        <c:scaling>
          <c:orientation val="minMax"/>
          <c:max val="3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0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'a de Gantt en blanco y burndown'!$L$38</c:f>
              <c:strCache>
                <c:ptCount val="1"/>
                <c:pt idx="0">
                  <c:v>HRS COMPLETADO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75000"/>
                  </a:schemeClr>
                </a:gs>
                <a:gs pos="100000">
                  <a:schemeClr val="accent5">
                    <a:lumMod val="60000"/>
                    <a:lumOff val="40000"/>
                  </a:schemeClr>
                </a:gs>
              </a:gsLst>
              <a:lin ang="16200000" scaled="1"/>
              <a:tileRect/>
            </a:gra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 de Gantt en blanco y burndown'!$M$35:$BT$35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'a de Gantt en blanco y burndown'!$M$38:$BT$38</c:f>
              <c:numCache>
                <c:formatCode>General</c:formatCode>
                <c:ptCount val="60"/>
              </c:numCache>
            </c:numRef>
          </c:val>
          <c:extLst>
            <c:ext xmlns:c16="http://schemas.microsoft.com/office/drawing/2014/chart" uri="{C3380CC4-5D6E-409C-BE32-E72D297353CC}">
              <c16:uniqueId val="{00000000-9700-435D-8D32-3F0BC29B1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2"/>
        <c:axId val="1150741088"/>
        <c:axId val="1179485168"/>
      </c:barChart>
      <c:lineChart>
        <c:grouping val="standard"/>
        <c:varyColors val="0"/>
        <c:ser>
          <c:idx val="3"/>
          <c:order val="1"/>
          <c:tx>
            <c:strRef>
              <c:f>'a de Gantt en blanco y burndown'!$L$36</c:f>
              <c:strCache>
                <c:ptCount val="1"/>
                <c:pt idx="0">
                  <c:v>PLAN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'a de Gantt en blanco y burndown'!$M$35:$BT$35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'a de Gantt en blanco y burndown'!$M$36:$BT$36</c:f>
              <c:numCache>
                <c:formatCode>0</c:formatCode>
                <c:ptCount val="60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00-435D-8D32-3F0BC29B18B5}"/>
            </c:ext>
          </c:extLst>
        </c:ser>
        <c:ser>
          <c:idx val="4"/>
          <c:order val="2"/>
          <c:tx>
            <c:strRef>
              <c:f>'a de Gantt en blanco y burndown'!$L$37</c:f>
              <c:strCache>
                <c:ptCount val="1"/>
                <c:pt idx="0">
                  <c:v>ESTIMAR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'a de Gantt en blanco y burndown'!$M$35:$BT$35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'a de Gantt en blanco y burndown'!$M$37:$BT$37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00-435D-8D32-3F0BC29B18B5}"/>
            </c:ext>
          </c:extLst>
        </c:ser>
        <c:ser>
          <c:idx val="5"/>
          <c:order val="3"/>
          <c:tx>
            <c:strRef>
              <c:f>'a de Gantt en blanco y burndown'!$L$39</c:f>
              <c:strCache>
                <c:ptCount val="1"/>
                <c:pt idx="0">
                  <c:v>HRS RESTANTE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'a de Gantt en blanco y burndown'!$M$35:$BT$35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'a de Gantt en blanco y burndown'!$M$39:$BT$39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00-435D-8D32-3F0BC29B1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770320"/>
        <c:axId val="1180774800"/>
      </c:lineChart>
      <c:catAx>
        <c:axId val="11507410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485168"/>
        <c:crosses val="autoZero"/>
        <c:auto val="1"/>
        <c:lblAlgn val="ctr"/>
        <c:lblOffset val="100"/>
        <c:noMultiLvlLbl val="0"/>
      </c:catAx>
      <c:valAx>
        <c:axId val="1179485168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50741088"/>
        <c:crosses val="max"/>
        <c:crossBetween val="between"/>
      </c:valAx>
      <c:catAx>
        <c:axId val="118077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4800"/>
        <c:crosses val="autoZero"/>
        <c:auto val="1"/>
        <c:lblAlgn val="ctr"/>
        <c:lblOffset val="100"/>
        <c:noMultiLvlLbl val="0"/>
      </c:catAx>
      <c:valAx>
        <c:axId val="118077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MX"/>
          </a:p>
        </c:txPr>
        <c:crossAx val="11807703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55770</xdr:colOff>
      <xdr:row>46</xdr:row>
      <xdr:rowOff>133351</xdr:rowOff>
    </xdr:from>
    <xdr:to>
      <xdr:col>20</xdr:col>
      <xdr:colOff>119269</xdr:colOff>
      <xdr:row>47</xdr:row>
      <xdr:rowOff>1990725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55770</xdr:colOff>
      <xdr:row>46</xdr:row>
      <xdr:rowOff>133351</xdr:rowOff>
    </xdr:from>
    <xdr:to>
      <xdr:col>20</xdr:col>
      <xdr:colOff>119269</xdr:colOff>
      <xdr:row>47</xdr:row>
      <xdr:rowOff>1990725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32AD1D-28A8-4373-B57F-C091E4B6F8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55770</xdr:colOff>
      <xdr:row>40</xdr:row>
      <xdr:rowOff>133351</xdr:rowOff>
    </xdr:from>
    <xdr:to>
      <xdr:col>20</xdr:col>
      <xdr:colOff>119269</xdr:colOff>
      <xdr:row>41</xdr:row>
      <xdr:rowOff>1990725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C20487-7862-40DE-985A-F6F2DA147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55770</xdr:colOff>
      <xdr:row>48</xdr:row>
      <xdr:rowOff>133351</xdr:rowOff>
    </xdr:from>
    <xdr:to>
      <xdr:col>20</xdr:col>
      <xdr:colOff>119269</xdr:colOff>
      <xdr:row>49</xdr:row>
      <xdr:rowOff>1990725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60CAD-ACFC-41DD-8B4D-D353A26348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55770</xdr:colOff>
      <xdr:row>32</xdr:row>
      <xdr:rowOff>133351</xdr:rowOff>
    </xdr:from>
    <xdr:to>
      <xdr:col>20</xdr:col>
      <xdr:colOff>119269</xdr:colOff>
      <xdr:row>33</xdr:row>
      <xdr:rowOff>1990725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B9FA8E-EAC2-4709-BAB4-BB2FD1212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40</xdr:row>
      <xdr:rowOff>0</xdr:rowOff>
    </xdr:from>
    <xdr:to>
      <xdr:col>72</xdr:col>
      <xdr:colOff>127000</xdr:colOff>
      <xdr:row>41</xdr:row>
      <xdr:rowOff>2705100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Office-Work-Schedule-Template1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ffice Work Schedule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/>
    <pageSetUpPr fitToPage="1"/>
  </sheetPr>
  <dimension ref="A1:BV50"/>
  <sheetViews>
    <sheetView showGridLines="0" zoomScale="80" zoomScaleNormal="80" zoomScalePageLayoutView="70" workbookViewId="0">
      <pane ySplit="1" topLeftCell="A2" activePane="bottomLeft" state="frozen"/>
      <selection pane="bottomLeft" activeCell="AI47" sqref="AI47"/>
    </sheetView>
  </sheetViews>
  <sheetFormatPr baseColWidth="10" defaultColWidth="11.125" defaultRowHeight="15.75"/>
  <cols>
    <col min="1" max="1" width="3.25" customWidth="1"/>
    <col min="2" max="2" width="10.5" customWidth="1"/>
    <col min="3" max="3" width="34.375" customWidth="1"/>
    <col min="4" max="4" width="22" customWidth="1"/>
    <col min="5" max="8" width="9" customWidth="1"/>
    <col min="9" max="10" width="10.875" customWidth="1"/>
    <col min="11" max="11" width="9.75" customWidth="1"/>
    <col min="12" max="12" width="15" customWidth="1"/>
    <col min="13" max="72" width="3.875" customWidth="1"/>
    <col min="73" max="73" width="1" customWidth="1"/>
    <col min="74" max="74" width="8.5" style="35" customWidth="1"/>
    <col min="75" max="75" width="3.25" customWidth="1"/>
  </cols>
  <sheetData>
    <row r="1" spans="1:74" ht="45" customHeight="1">
      <c r="A1" s="31"/>
      <c r="B1" s="32" t="s">
        <v>131</v>
      </c>
      <c r="C1" s="33"/>
      <c r="D1" s="33"/>
      <c r="E1" s="33"/>
      <c r="F1" s="33"/>
      <c r="G1" s="33"/>
      <c r="H1" s="33"/>
      <c r="I1" s="33"/>
      <c r="J1" s="34"/>
      <c r="K1" s="34"/>
      <c r="L1" s="34"/>
      <c r="M1" s="34"/>
      <c r="N1" s="34"/>
      <c r="O1" s="34"/>
      <c r="P1" s="34"/>
    </row>
    <row r="2" spans="1:74" s="35" customFormat="1" ht="35.1" customHeight="1" thickBot="1">
      <c r="B2" s="106"/>
      <c r="C2" s="37"/>
      <c r="D2" s="37"/>
      <c r="E2" s="37"/>
      <c r="F2" s="36"/>
      <c r="G2" s="37"/>
      <c r="H2" s="37"/>
      <c r="I2" s="37"/>
      <c r="J2" s="37"/>
      <c r="K2" s="37"/>
      <c r="L2" s="37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</row>
    <row r="3" spans="1:74" ht="23.1" customHeight="1">
      <c r="B3" s="40"/>
      <c r="C3" s="40"/>
      <c r="D3" s="40"/>
      <c r="E3" s="40"/>
      <c r="F3" s="40"/>
      <c r="G3" s="40"/>
      <c r="H3" s="40"/>
      <c r="I3" s="40"/>
      <c r="J3" s="41"/>
      <c r="K3" s="259" t="s">
        <v>1</v>
      </c>
      <c r="L3" s="42" t="s">
        <v>2</v>
      </c>
      <c r="M3" s="43"/>
      <c r="N3" s="43"/>
      <c r="O3" s="43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6"/>
      <c r="BU3" s="38"/>
      <c r="BV3" s="39"/>
    </row>
    <row r="4" spans="1:74" ht="23.1" customHeight="1">
      <c r="B4" s="40"/>
      <c r="C4" s="40"/>
      <c r="D4" s="40"/>
      <c r="E4" s="40"/>
      <c r="F4" s="40"/>
      <c r="G4" s="40"/>
      <c r="H4" s="40"/>
      <c r="I4" s="40"/>
      <c r="J4" s="41"/>
      <c r="K4" s="260"/>
      <c r="L4" s="47" t="s">
        <v>3</v>
      </c>
      <c r="M4" s="48"/>
      <c r="N4" s="48"/>
      <c r="O4" s="48"/>
      <c r="P4" s="49"/>
      <c r="Q4" s="49"/>
      <c r="R4" s="49"/>
      <c r="S4" s="49"/>
      <c r="T4" s="49"/>
      <c r="U4" s="49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51"/>
      <c r="BU4" s="38"/>
      <c r="BV4" s="39"/>
    </row>
    <row r="5" spans="1:74" ht="23.1" customHeight="1">
      <c r="B5" s="36"/>
      <c r="C5" s="37"/>
      <c r="D5" s="37"/>
      <c r="E5" s="37"/>
      <c r="F5" s="37"/>
      <c r="G5" s="37"/>
      <c r="H5" s="37"/>
      <c r="I5" s="36"/>
      <c r="J5" s="37"/>
      <c r="K5" s="260"/>
      <c r="L5" s="52" t="s">
        <v>4</v>
      </c>
      <c r="M5" s="48"/>
      <c r="N5" s="48"/>
      <c r="O5" s="48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53"/>
      <c r="AB5" s="53"/>
      <c r="AC5" s="53"/>
      <c r="AD5" s="53"/>
      <c r="AE5" s="53"/>
      <c r="AF5" s="53"/>
      <c r="AG5" s="53"/>
      <c r="AH5" s="53"/>
      <c r="AI5" s="53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1"/>
      <c r="BU5" s="38"/>
      <c r="BV5" s="39"/>
    </row>
    <row r="6" spans="1:74" ht="23.1" customHeight="1">
      <c r="B6" s="36"/>
      <c r="C6" s="37"/>
      <c r="D6" s="37"/>
      <c r="E6" s="37"/>
      <c r="F6" s="37"/>
      <c r="G6" s="37"/>
      <c r="H6" s="37"/>
      <c r="I6" s="36"/>
      <c r="J6" s="37"/>
      <c r="K6" s="260"/>
      <c r="L6" s="54" t="s">
        <v>5</v>
      </c>
      <c r="M6" s="48"/>
      <c r="N6" s="48"/>
      <c r="O6" s="48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51"/>
      <c r="BU6" s="38"/>
      <c r="BV6" s="39"/>
    </row>
    <row r="7" spans="1:74" ht="23.1" customHeight="1" thickBot="1">
      <c r="B7" s="36"/>
      <c r="C7" s="37"/>
      <c r="D7" s="37"/>
      <c r="E7" s="37"/>
      <c r="F7" s="37"/>
      <c r="G7" s="37"/>
      <c r="H7" s="37"/>
      <c r="I7" s="36"/>
      <c r="J7" s="37"/>
      <c r="K7" s="261"/>
      <c r="L7" s="56" t="s">
        <v>6</v>
      </c>
      <c r="M7" s="48"/>
      <c r="N7" s="48"/>
      <c r="O7" s="48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57"/>
      <c r="AX7" s="57"/>
      <c r="AY7" s="57"/>
      <c r="AZ7" s="57"/>
      <c r="BA7" s="57"/>
      <c r="BB7" s="57"/>
      <c r="BC7" s="57"/>
      <c r="BD7" s="57"/>
      <c r="BE7" s="57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51"/>
      <c r="BU7" s="38"/>
      <c r="BV7" s="39"/>
    </row>
    <row r="8" spans="1:74" ht="23.1" customHeight="1">
      <c r="B8" s="242" t="s">
        <v>7</v>
      </c>
      <c r="C8" s="251" t="s">
        <v>8</v>
      </c>
      <c r="D8" s="246" t="s">
        <v>9</v>
      </c>
      <c r="E8" s="256" t="s">
        <v>10</v>
      </c>
      <c r="F8" s="257"/>
      <c r="G8" s="258"/>
      <c r="H8" s="244" t="s">
        <v>11</v>
      </c>
      <c r="I8" s="248" t="s">
        <v>12</v>
      </c>
      <c r="J8" s="249" t="s">
        <v>13</v>
      </c>
      <c r="K8" s="262" t="s">
        <v>14</v>
      </c>
      <c r="L8" s="263" t="s">
        <v>15</v>
      </c>
      <c r="M8" s="265" t="s">
        <v>16</v>
      </c>
      <c r="N8" s="240"/>
      <c r="O8" s="240"/>
      <c r="P8" s="240"/>
      <c r="Q8" s="241"/>
      <c r="R8" s="266" t="s">
        <v>17</v>
      </c>
      <c r="S8" s="240"/>
      <c r="T8" s="240"/>
      <c r="U8" s="240"/>
      <c r="V8" s="241"/>
      <c r="W8" s="266" t="s">
        <v>18</v>
      </c>
      <c r="X8" s="240"/>
      <c r="Y8" s="240"/>
      <c r="Z8" s="240"/>
      <c r="AA8" s="241"/>
      <c r="AB8" s="268" t="s">
        <v>19</v>
      </c>
      <c r="AC8" s="240"/>
      <c r="AD8" s="240"/>
      <c r="AE8" s="240"/>
      <c r="AF8" s="241"/>
      <c r="AG8" s="269" t="s">
        <v>20</v>
      </c>
      <c r="AH8" s="240"/>
      <c r="AI8" s="240"/>
      <c r="AJ8" s="240"/>
      <c r="AK8" s="241"/>
      <c r="AL8" s="269" t="s">
        <v>21</v>
      </c>
      <c r="AM8" s="240"/>
      <c r="AN8" s="240"/>
      <c r="AO8" s="240"/>
      <c r="AP8" s="241"/>
      <c r="AQ8" s="267" t="s">
        <v>22</v>
      </c>
      <c r="AR8" s="240"/>
      <c r="AS8" s="240"/>
      <c r="AT8" s="240"/>
      <c r="AU8" s="241"/>
      <c r="AV8" s="270" t="s">
        <v>23</v>
      </c>
      <c r="AW8" s="240"/>
      <c r="AX8" s="240"/>
      <c r="AY8" s="240"/>
      <c r="AZ8" s="241"/>
      <c r="BA8" s="270" t="s">
        <v>24</v>
      </c>
      <c r="BB8" s="240"/>
      <c r="BC8" s="240"/>
      <c r="BD8" s="240"/>
      <c r="BE8" s="241"/>
      <c r="BF8" s="271" t="s">
        <v>25</v>
      </c>
      <c r="BG8" s="240"/>
      <c r="BH8" s="240"/>
      <c r="BI8" s="240"/>
      <c r="BJ8" s="241"/>
      <c r="BK8" s="239"/>
      <c r="BL8" s="240"/>
      <c r="BM8" s="240"/>
      <c r="BN8" s="240"/>
      <c r="BO8" s="241"/>
      <c r="BP8" s="239"/>
      <c r="BQ8" s="240"/>
      <c r="BR8" s="240"/>
      <c r="BS8" s="240"/>
      <c r="BT8" s="241"/>
      <c r="BU8" s="38"/>
      <c r="BV8" s="39"/>
    </row>
    <row r="9" spans="1:74" ht="23.1" customHeight="1" thickBot="1">
      <c r="B9" s="243"/>
      <c r="C9" s="252"/>
      <c r="D9" s="247"/>
      <c r="E9" s="58" t="s">
        <v>28</v>
      </c>
      <c r="F9" s="59" t="s">
        <v>29</v>
      </c>
      <c r="G9" s="60" t="s">
        <v>30</v>
      </c>
      <c r="H9" s="245"/>
      <c r="I9" s="241"/>
      <c r="J9" s="250"/>
      <c r="K9" s="250"/>
      <c r="L9" s="264"/>
      <c r="M9" s="61" t="s">
        <v>31</v>
      </c>
      <c r="N9" s="62" t="s">
        <v>32</v>
      </c>
      <c r="O9" s="62" t="s">
        <v>33</v>
      </c>
      <c r="P9" s="62" t="s">
        <v>34</v>
      </c>
      <c r="Q9" s="62" t="s">
        <v>35</v>
      </c>
      <c r="R9" s="62" t="s">
        <v>31</v>
      </c>
      <c r="S9" s="62" t="s">
        <v>32</v>
      </c>
      <c r="T9" s="62" t="s">
        <v>33</v>
      </c>
      <c r="U9" s="62" t="s">
        <v>34</v>
      </c>
      <c r="V9" s="62" t="s">
        <v>35</v>
      </c>
      <c r="W9" s="62" t="s">
        <v>31</v>
      </c>
      <c r="X9" s="62" t="s">
        <v>32</v>
      </c>
      <c r="Y9" s="62" t="s">
        <v>33</v>
      </c>
      <c r="Z9" s="62" t="s">
        <v>34</v>
      </c>
      <c r="AA9" s="63" t="s">
        <v>35</v>
      </c>
      <c r="AB9" s="64" t="s">
        <v>31</v>
      </c>
      <c r="AC9" s="65" t="s">
        <v>32</v>
      </c>
      <c r="AD9" s="65" t="s">
        <v>33</v>
      </c>
      <c r="AE9" s="65" t="s">
        <v>34</v>
      </c>
      <c r="AF9" s="65" t="s">
        <v>35</v>
      </c>
      <c r="AG9" s="65" t="s">
        <v>31</v>
      </c>
      <c r="AH9" s="65" t="s">
        <v>32</v>
      </c>
      <c r="AI9" s="65" t="s">
        <v>33</v>
      </c>
      <c r="AJ9" s="65" t="s">
        <v>34</v>
      </c>
      <c r="AK9" s="65" t="s">
        <v>35</v>
      </c>
      <c r="AL9" s="65" t="s">
        <v>31</v>
      </c>
      <c r="AM9" s="65" t="s">
        <v>32</v>
      </c>
      <c r="AN9" s="65" t="s">
        <v>33</v>
      </c>
      <c r="AO9" s="65" t="s">
        <v>34</v>
      </c>
      <c r="AP9" s="66" t="s">
        <v>35</v>
      </c>
      <c r="AQ9" s="67" t="s">
        <v>31</v>
      </c>
      <c r="AR9" s="68" t="s">
        <v>32</v>
      </c>
      <c r="AS9" s="68" t="s">
        <v>33</v>
      </c>
      <c r="AT9" s="68" t="s">
        <v>34</v>
      </c>
      <c r="AU9" s="68" t="s">
        <v>35</v>
      </c>
      <c r="AV9" s="68" t="s">
        <v>31</v>
      </c>
      <c r="AW9" s="68" t="s">
        <v>32</v>
      </c>
      <c r="AX9" s="68" t="s">
        <v>33</v>
      </c>
      <c r="AY9" s="68" t="s">
        <v>34</v>
      </c>
      <c r="AZ9" s="68" t="s">
        <v>35</v>
      </c>
      <c r="BA9" s="68" t="s">
        <v>31</v>
      </c>
      <c r="BB9" s="68" t="s">
        <v>32</v>
      </c>
      <c r="BC9" s="68" t="s">
        <v>33</v>
      </c>
      <c r="BD9" s="68" t="s">
        <v>34</v>
      </c>
      <c r="BE9" s="69" t="s">
        <v>35</v>
      </c>
      <c r="BF9" s="70" t="s">
        <v>31</v>
      </c>
      <c r="BG9" s="71" t="s">
        <v>32</v>
      </c>
      <c r="BH9" s="71" t="s">
        <v>33</v>
      </c>
      <c r="BI9" s="71" t="s">
        <v>34</v>
      </c>
      <c r="BJ9" s="71" t="s">
        <v>35</v>
      </c>
      <c r="BK9" s="188"/>
      <c r="BL9" s="188"/>
      <c r="BM9" s="188"/>
      <c r="BN9" s="188"/>
      <c r="BO9" s="188"/>
      <c r="BP9" s="188"/>
      <c r="BQ9" s="188"/>
      <c r="BR9" s="188"/>
      <c r="BS9" s="188"/>
      <c r="BT9" s="189"/>
      <c r="BU9" s="38"/>
      <c r="BV9" s="39"/>
    </row>
    <row r="10" spans="1:74" ht="23.1" customHeight="1" thickTop="1">
      <c r="B10" s="202">
        <v>1</v>
      </c>
      <c r="C10" s="203" t="s">
        <v>70</v>
      </c>
      <c r="D10" s="204"/>
      <c r="E10" s="197">
        <f>SUM(E11:E14)</f>
        <v>8</v>
      </c>
      <c r="F10" s="198">
        <f>SUM(F11:F14)</f>
        <v>8</v>
      </c>
      <c r="G10" s="199">
        <f>SUM(G11:G14)</f>
        <v>0</v>
      </c>
      <c r="H10" s="205"/>
      <c r="I10" s="206">
        <v>45913</v>
      </c>
      <c r="J10" s="206">
        <v>45919</v>
      </c>
      <c r="K10" s="207">
        <f>J10-I10+1</f>
        <v>7</v>
      </c>
      <c r="L10" s="201">
        <f t="shared" ref="L10:L19" si="0">IFERROR(F10/E10,"")</f>
        <v>1</v>
      </c>
      <c r="M10" s="73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5"/>
      <c r="AB10" s="73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5"/>
      <c r="AQ10" s="73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5"/>
      <c r="BF10" s="73"/>
      <c r="BG10" s="74"/>
      <c r="BH10" s="74"/>
      <c r="BI10" s="74"/>
      <c r="BJ10" s="74"/>
      <c r="BK10" s="78"/>
      <c r="BL10" s="78"/>
      <c r="BM10" s="78"/>
      <c r="BN10" s="78"/>
      <c r="BO10" s="78"/>
      <c r="BP10" s="78"/>
      <c r="BQ10" s="78"/>
      <c r="BR10" s="78"/>
      <c r="BS10" s="78"/>
      <c r="BT10" s="81"/>
      <c r="BU10" s="38"/>
      <c r="BV10" s="39"/>
    </row>
    <row r="11" spans="1:74" ht="23.1" customHeight="1">
      <c r="B11" s="150" t="s">
        <v>88</v>
      </c>
      <c r="C11" s="193" t="s">
        <v>95</v>
      </c>
      <c r="D11" s="152" t="s">
        <v>129</v>
      </c>
      <c r="E11" s="153">
        <v>4</v>
      </c>
      <c r="F11" s="154">
        <v>4</v>
      </c>
      <c r="G11" s="155">
        <f>E11-F11</f>
        <v>0</v>
      </c>
      <c r="H11" s="156"/>
      <c r="I11" s="211"/>
      <c r="J11" s="211"/>
      <c r="K11" s="213"/>
      <c r="L11" s="201">
        <f t="shared" si="0"/>
        <v>1</v>
      </c>
      <c r="M11" s="77"/>
      <c r="N11" s="78"/>
      <c r="O11" s="78"/>
      <c r="P11" s="78"/>
      <c r="Q11" s="79"/>
      <c r="R11" s="79"/>
      <c r="S11" s="79"/>
      <c r="T11" s="79"/>
      <c r="U11" s="80"/>
      <c r="V11" s="80"/>
      <c r="W11" s="78"/>
      <c r="X11" s="78"/>
      <c r="Y11" s="78"/>
      <c r="Z11" s="78"/>
      <c r="AA11" s="81"/>
      <c r="AB11" s="77"/>
      <c r="AC11" s="78"/>
      <c r="AD11" s="78"/>
      <c r="AE11" s="78"/>
      <c r="AF11" s="78"/>
      <c r="AG11" s="82"/>
      <c r="AH11" s="82"/>
      <c r="AI11" s="82"/>
      <c r="AJ11" s="82"/>
      <c r="AK11" s="82"/>
      <c r="AL11" s="78"/>
      <c r="AM11" s="78"/>
      <c r="AN11" s="78"/>
      <c r="AO11" s="78"/>
      <c r="AP11" s="81"/>
      <c r="AQ11" s="77"/>
      <c r="AR11" s="78"/>
      <c r="AS11" s="78"/>
      <c r="AT11" s="78"/>
      <c r="AU11" s="78"/>
      <c r="AV11" s="83"/>
      <c r="AW11" s="83"/>
      <c r="AX11" s="83"/>
      <c r="AY11" s="83"/>
      <c r="AZ11" s="83"/>
      <c r="BA11" s="78"/>
      <c r="BB11" s="78"/>
      <c r="BC11" s="78"/>
      <c r="BD11" s="78"/>
      <c r="BE11" s="81"/>
      <c r="BF11" s="77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81"/>
      <c r="BU11" s="38"/>
      <c r="BV11" s="39"/>
    </row>
    <row r="12" spans="1:74" ht="23.1" customHeight="1">
      <c r="B12" s="150" t="s">
        <v>89</v>
      </c>
      <c r="C12" s="193" t="s">
        <v>96</v>
      </c>
      <c r="D12" s="152" t="s">
        <v>129</v>
      </c>
      <c r="E12" s="153">
        <v>2</v>
      </c>
      <c r="F12" s="154">
        <v>2</v>
      </c>
      <c r="G12" s="155">
        <f>E12-F12</f>
        <v>0</v>
      </c>
      <c r="H12" s="163"/>
      <c r="I12" s="211"/>
      <c r="J12" s="211"/>
      <c r="K12" s="213"/>
      <c r="L12" s="201">
        <f t="shared" si="0"/>
        <v>1</v>
      </c>
      <c r="M12" s="77"/>
      <c r="N12" s="78"/>
      <c r="O12" s="78"/>
      <c r="P12" s="78"/>
      <c r="Q12" s="78"/>
      <c r="R12" s="80"/>
      <c r="S12" s="80"/>
      <c r="T12" s="79"/>
      <c r="U12" s="79"/>
      <c r="V12" s="80"/>
      <c r="W12" s="78"/>
      <c r="X12" s="78"/>
      <c r="Y12" s="78"/>
      <c r="Z12" s="78"/>
      <c r="AA12" s="81"/>
      <c r="AB12" s="77"/>
      <c r="AC12" s="78"/>
      <c r="AD12" s="78"/>
      <c r="AE12" s="78"/>
      <c r="AF12" s="78"/>
      <c r="AG12" s="82"/>
      <c r="AH12" s="82"/>
      <c r="AI12" s="82"/>
      <c r="AJ12" s="82"/>
      <c r="AK12" s="82"/>
      <c r="AL12" s="78"/>
      <c r="AM12" s="78"/>
      <c r="AN12" s="78"/>
      <c r="AO12" s="78"/>
      <c r="AP12" s="81"/>
      <c r="AQ12" s="77"/>
      <c r="AR12" s="78"/>
      <c r="AS12" s="78"/>
      <c r="AT12" s="78"/>
      <c r="AU12" s="78"/>
      <c r="AV12" s="83"/>
      <c r="AW12" s="83"/>
      <c r="AX12" s="83"/>
      <c r="AY12" s="83"/>
      <c r="AZ12" s="83"/>
      <c r="BA12" s="78"/>
      <c r="BB12" s="78"/>
      <c r="BC12" s="78"/>
      <c r="BD12" s="78"/>
      <c r="BE12" s="81"/>
      <c r="BF12" s="77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81"/>
      <c r="BU12" s="38"/>
      <c r="BV12" s="39"/>
    </row>
    <row r="13" spans="1:74" ht="23.1" customHeight="1">
      <c r="B13" s="150" t="s">
        <v>90</v>
      </c>
      <c r="C13" s="193" t="s">
        <v>97</v>
      </c>
      <c r="D13" s="152" t="s">
        <v>129</v>
      </c>
      <c r="E13" s="153">
        <v>1</v>
      </c>
      <c r="F13" s="154">
        <v>1</v>
      </c>
      <c r="G13" s="155">
        <f>E13-F13</f>
        <v>0</v>
      </c>
      <c r="H13" s="156"/>
      <c r="I13" s="211"/>
      <c r="J13" s="211"/>
      <c r="K13" s="213"/>
      <c r="L13" s="201">
        <f t="shared" si="0"/>
        <v>1</v>
      </c>
      <c r="M13" s="77"/>
      <c r="N13" s="78"/>
      <c r="O13" s="78"/>
      <c r="P13" s="78"/>
      <c r="Q13" s="78"/>
      <c r="R13" s="80"/>
      <c r="S13" s="80"/>
      <c r="T13" s="79"/>
      <c r="U13" s="79"/>
      <c r="V13" s="79"/>
      <c r="W13" s="79"/>
      <c r="X13" s="79"/>
      <c r="Y13" s="79"/>
      <c r="Z13" s="79"/>
      <c r="AA13" s="81"/>
      <c r="AB13" s="77"/>
      <c r="AC13" s="78"/>
      <c r="AD13" s="78"/>
      <c r="AE13" s="78"/>
      <c r="AF13" s="78"/>
      <c r="AG13" s="82"/>
      <c r="AH13" s="82"/>
      <c r="AI13" s="82"/>
      <c r="AJ13" s="82"/>
      <c r="AK13" s="82"/>
      <c r="AL13" s="78"/>
      <c r="AM13" s="78"/>
      <c r="AN13" s="78"/>
      <c r="AO13" s="78"/>
      <c r="AP13" s="81"/>
      <c r="AQ13" s="77"/>
      <c r="AR13" s="78"/>
      <c r="AS13" s="78"/>
      <c r="AT13" s="78"/>
      <c r="AU13" s="78"/>
      <c r="AV13" s="83"/>
      <c r="AW13" s="83"/>
      <c r="AX13" s="83"/>
      <c r="AY13" s="83"/>
      <c r="AZ13" s="83"/>
      <c r="BA13" s="78"/>
      <c r="BB13" s="78"/>
      <c r="BC13" s="78"/>
      <c r="BD13" s="78"/>
      <c r="BE13" s="81"/>
      <c r="BF13" s="77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81"/>
      <c r="BU13" s="38"/>
      <c r="BV13" s="39"/>
    </row>
    <row r="14" spans="1:74" ht="23.1" customHeight="1">
      <c r="B14" s="150" t="s">
        <v>91</v>
      </c>
      <c r="C14" s="193" t="s">
        <v>98</v>
      </c>
      <c r="D14" s="152" t="s">
        <v>129</v>
      </c>
      <c r="E14" s="153">
        <v>1</v>
      </c>
      <c r="F14" s="154">
        <v>1</v>
      </c>
      <c r="G14" s="155">
        <f>E14-F14</f>
        <v>0</v>
      </c>
      <c r="H14" s="156"/>
      <c r="I14" s="211"/>
      <c r="J14" s="211"/>
      <c r="K14" s="213"/>
      <c r="L14" s="201">
        <f t="shared" si="0"/>
        <v>1</v>
      </c>
      <c r="M14" s="77"/>
      <c r="N14" s="78"/>
      <c r="O14" s="78"/>
      <c r="P14" s="78"/>
      <c r="Q14" s="78"/>
      <c r="R14" s="80"/>
      <c r="S14" s="80"/>
      <c r="T14" s="80"/>
      <c r="U14" s="79"/>
      <c r="V14" s="79"/>
      <c r="W14" s="79"/>
      <c r="X14" s="79"/>
      <c r="Y14" s="79"/>
      <c r="Z14" s="79"/>
      <c r="AA14" s="81"/>
      <c r="AB14" s="77"/>
      <c r="AC14" s="78"/>
      <c r="AD14" s="78"/>
      <c r="AE14" s="78"/>
      <c r="AF14" s="78"/>
      <c r="AG14" s="82"/>
      <c r="AH14" s="82"/>
      <c r="AI14" s="82"/>
      <c r="AJ14" s="82"/>
      <c r="AK14" s="82"/>
      <c r="AL14" s="78"/>
      <c r="AM14" s="78"/>
      <c r="AN14" s="78"/>
      <c r="AO14" s="78"/>
      <c r="AP14" s="81"/>
      <c r="AQ14" s="77"/>
      <c r="AR14" s="78"/>
      <c r="AS14" s="78"/>
      <c r="AT14" s="78"/>
      <c r="AU14" s="78"/>
      <c r="AV14" s="83"/>
      <c r="AW14" s="83"/>
      <c r="AX14" s="83"/>
      <c r="AY14" s="83"/>
      <c r="AZ14" s="83"/>
      <c r="BA14" s="78"/>
      <c r="BB14" s="78"/>
      <c r="BC14" s="78"/>
      <c r="BD14" s="78"/>
      <c r="BE14" s="81"/>
      <c r="BF14" s="77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81"/>
      <c r="BU14" s="38"/>
      <c r="BV14" s="39"/>
    </row>
    <row r="15" spans="1:74" ht="23.1" customHeight="1">
      <c r="B15" s="194" t="s">
        <v>92</v>
      </c>
      <c r="C15" s="195" t="s">
        <v>71</v>
      </c>
      <c r="D15" s="196"/>
      <c r="E15" s="197">
        <f>SUM(E16:E19)</f>
        <v>12</v>
      </c>
      <c r="F15" s="198">
        <f>SUM(F16:F19)</f>
        <v>12</v>
      </c>
      <c r="G15" s="199">
        <f>SUM(G16:G19)</f>
        <v>0</v>
      </c>
      <c r="H15" s="200"/>
      <c r="I15" s="206">
        <v>45913</v>
      </c>
      <c r="J15" s="206">
        <v>45919</v>
      </c>
      <c r="K15" s="207">
        <f>J15-I15+1</f>
        <v>7</v>
      </c>
      <c r="L15" s="201">
        <f t="shared" si="0"/>
        <v>1</v>
      </c>
      <c r="M15" s="73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5"/>
      <c r="AB15" s="73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5"/>
      <c r="AQ15" s="73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5"/>
      <c r="BF15" s="73"/>
      <c r="BG15" s="74"/>
      <c r="BH15" s="74"/>
      <c r="BI15" s="74"/>
      <c r="BJ15" s="74"/>
      <c r="BK15" s="78"/>
      <c r="BL15" s="78"/>
      <c r="BM15" s="78"/>
      <c r="BN15" s="78"/>
      <c r="BO15" s="78"/>
      <c r="BP15" s="78"/>
      <c r="BQ15" s="78"/>
      <c r="BR15" s="78"/>
      <c r="BS15" s="78"/>
      <c r="BT15" s="81"/>
      <c r="BU15" s="38"/>
      <c r="BV15" s="39"/>
    </row>
    <row r="16" spans="1:74" ht="23.1" customHeight="1">
      <c r="B16" s="150">
        <v>2.1</v>
      </c>
      <c r="C16" s="193" t="s">
        <v>99</v>
      </c>
      <c r="D16" s="152" t="s">
        <v>119</v>
      </c>
      <c r="E16" s="153">
        <v>1</v>
      </c>
      <c r="F16" s="154">
        <v>1</v>
      </c>
      <c r="G16" s="155">
        <f>E16-F16</f>
        <v>0</v>
      </c>
      <c r="H16" s="156"/>
      <c r="I16" s="187"/>
      <c r="J16" s="187"/>
      <c r="K16" s="213"/>
      <c r="L16" s="201">
        <f t="shared" si="0"/>
        <v>1</v>
      </c>
      <c r="M16" s="77"/>
      <c r="N16" s="78"/>
      <c r="O16" s="78"/>
      <c r="P16" s="78"/>
      <c r="Q16" s="78"/>
      <c r="R16" s="80"/>
      <c r="S16" s="80"/>
      <c r="T16" s="80"/>
      <c r="U16" s="80"/>
      <c r="V16" s="80"/>
      <c r="W16" s="78"/>
      <c r="X16" s="78"/>
      <c r="Y16" s="78"/>
      <c r="Z16" s="78"/>
      <c r="AA16" s="81"/>
      <c r="AB16" s="84"/>
      <c r="AC16" s="85"/>
      <c r="AD16" s="85"/>
      <c r="AE16" s="85"/>
      <c r="AF16" s="85"/>
      <c r="AG16" s="82"/>
      <c r="AH16" s="82"/>
      <c r="AI16" s="82"/>
      <c r="AJ16" s="82"/>
      <c r="AK16" s="82"/>
      <c r="AL16" s="78"/>
      <c r="AM16" s="78"/>
      <c r="AN16" s="78"/>
      <c r="AO16" s="78"/>
      <c r="AP16" s="81"/>
      <c r="AQ16" s="77"/>
      <c r="AR16" s="78"/>
      <c r="AS16" s="78"/>
      <c r="AT16" s="78"/>
      <c r="AU16" s="78"/>
      <c r="AV16" s="83"/>
      <c r="AW16" s="83"/>
      <c r="AX16" s="83"/>
      <c r="AY16" s="83"/>
      <c r="AZ16" s="83"/>
      <c r="BA16" s="78"/>
      <c r="BB16" s="78"/>
      <c r="BC16" s="78"/>
      <c r="BD16" s="78"/>
      <c r="BE16" s="81"/>
      <c r="BF16" s="77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81"/>
      <c r="BU16" s="38"/>
      <c r="BV16" s="39"/>
    </row>
    <row r="17" spans="2:74" ht="23.1" customHeight="1">
      <c r="B17" s="150">
        <v>2.2000000000000002</v>
      </c>
      <c r="C17" s="193" t="s">
        <v>100</v>
      </c>
      <c r="D17" s="152" t="s">
        <v>119</v>
      </c>
      <c r="E17" s="153">
        <v>2</v>
      </c>
      <c r="F17" s="154">
        <v>2</v>
      </c>
      <c r="G17" s="155">
        <f>E17-F17</f>
        <v>0</v>
      </c>
      <c r="H17" s="156"/>
      <c r="I17" s="187"/>
      <c r="J17" s="187"/>
      <c r="K17" s="213"/>
      <c r="L17" s="201">
        <f t="shared" si="0"/>
        <v>1</v>
      </c>
      <c r="M17" s="77"/>
      <c r="N17" s="78"/>
      <c r="O17" s="78"/>
      <c r="P17" s="78"/>
      <c r="Q17" s="78"/>
      <c r="R17" s="80"/>
      <c r="S17" s="80"/>
      <c r="T17" s="80"/>
      <c r="U17" s="80"/>
      <c r="V17" s="80"/>
      <c r="W17" s="78"/>
      <c r="X17" s="78"/>
      <c r="Y17" s="78"/>
      <c r="Z17" s="78"/>
      <c r="AA17" s="81"/>
      <c r="AB17" s="77"/>
      <c r="AC17" s="78"/>
      <c r="AD17" s="78"/>
      <c r="AE17" s="78"/>
      <c r="AF17" s="78"/>
      <c r="AG17" s="85"/>
      <c r="AH17" s="85"/>
      <c r="AI17" s="85"/>
      <c r="AJ17" s="85"/>
      <c r="AK17" s="85"/>
      <c r="AL17" s="78"/>
      <c r="AM17" s="78"/>
      <c r="AN17" s="78"/>
      <c r="AO17" s="78"/>
      <c r="AP17" s="81"/>
      <c r="AQ17" s="77"/>
      <c r="AR17" s="78"/>
      <c r="AS17" s="78"/>
      <c r="AT17" s="78"/>
      <c r="AU17" s="78"/>
      <c r="AV17" s="83"/>
      <c r="AW17" s="83"/>
      <c r="AX17" s="83"/>
      <c r="AY17" s="83"/>
      <c r="AZ17" s="83"/>
      <c r="BA17" s="78"/>
      <c r="BB17" s="78"/>
      <c r="BC17" s="78"/>
      <c r="BD17" s="78"/>
      <c r="BE17" s="81"/>
      <c r="BF17" s="77"/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81"/>
      <c r="BU17" s="38"/>
      <c r="BV17" s="39"/>
    </row>
    <row r="18" spans="2:74" ht="23.1" customHeight="1">
      <c r="B18" s="150">
        <v>2.2999999999999998</v>
      </c>
      <c r="C18" s="193" t="s">
        <v>101</v>
      </c>
      <c r="D18" s="152" t="s">
        <v>119</v>
      </c>
      <c r="E18" s="153">
        <v>6</v>
      </c>
      <c r="F18" s="154">
        <v>6</v>
      </c>
      <c r="G18" s="155">
        <f>E18-F18</f>
        <v>0</v>
      </c>
      <c r="H18" s="156"/>
      <c r="I18" s="187"/>
      <c r="J18" s="187"/>
      <c r="K18" s="213"/>
      <c r="L18" s="201">
        <f t="shared" si="0"/>
        <v>1</v>
      </c>
      <c r="M18" s="77"/>
      <c r="N18" s="78"/>
      <c r="O18" s="78"/>
      <c r="P18" s="78"/>
      <c r="Q18" s="78"/>
      <c r="R18" s="80"/>
      <c r="S18" s="80"/>
      <c r="T18" s="80"/>
      <c r="U18" s="80"/>
      <c r="V18" s="80"/>
      <c r="W18" s="78"/>
      <c r="X18" s="78"/>
      <c r="Y18" s="78"/>
      <c r="Z18" s="78"/>
      <c r="AA18" s="81"/>
      <c r="AB18" s="77"/>
      <c r="AC18" s="78"/>
      <c r="AD18" s="78"/>
      <c r="AE18" s="78"/>
      <c r="AF18" s="78"/>
      <c r="AG18" s="82"/>
      <c r="AH18" s="82"/>
      <c r="AI18" s="82"/>
      <c r="AJ18" s="82"/>
      <c r="AK18" s="82"/>
      <c r="AL18" s="78"/>
      <c r="AM18" s="78"/>
      <c r="AN18" s="78"/>
      <c r="AO18" s="78"/>
      <c r="AP18" s="81"/>
      <c r="AQ18" s="77"/>
      <c r="AR18" s="78"/>
      <c r="AS18" s="78"/>
      <c r="AT18" s="78"/>
      <c r="AU18" s="78"/>
      <c r="AV18" s="83"/>
      <c r="AW18" s="83"/>
      <c r="AX18" s="83"/>
      <c r="AY18" s="83"/>
      <c r="AZ18" s="83"/>
      <c r="BA18" s="78"/>
      <c r="BB18" s="78"/>
      <c r="BC18" s="78"/>
      <c r="BD18" s="78"/>
      <c r="BE18" s="81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81"/>
      <c r="BU18" s="38"/>
      <c r="BV18" s="39"/>
    </row>
    <row r="19" spans="2:74" ht="23.1" customHeight="1">
      <c r="B19" s="150">
        <v>2.4</v>
      </c>
      <c r="C19" s="193" t="s">
        <v>102</v>
      </c>
      <c r="D19" s="152" t="s">
        <v>119</v>
      </c>
      <c r="E19" s="153">
        <v>3</v>
      </c>
      <c r="F19" s="154">
        <v>3</v>
      </c>
      <c r="G19" s="155">
        <f>E19-F19</f>
        <v>0</v>
      </c>
      <c r="H19" s="156"/>
      <c r="I19" s="187"/>
      <c r="J19" s="187"/>
      <c r="K19" s="213"/>
      <c r="L19" s="201">
        <f t="shared" si="0"/>
        <v>1</v>
      </c>
      <c r="M19" s="77"/>
      <c r="N19" s="78"/>
      <c r="O19" s="78"/>
      <c r="P19" s="78"/>
      <c r="Q19" s="78"/>
      <c r="R19" s="80"/>
      <c r="S19" s="80"/>
      <c r="T19" s="80"/>
      <c r="U19" s="80"/>
      <c r="V19" s="80"/>
      <c r="W19" s="78"/>
      <c r="X19" s="78"/>
      <c r="Y19" s="78"/>
      <c r="Z19" s="78"/>
      <c r="AA19" s="81"/>
      <c r="AB19" s="77"/>
      <c r="AC19" s="78"/>
      <c r="AD19" s="78"/>
      <c r="AE19" s="78"/>
      <c r="AF19" s="78"/>
      <c r="AG19" s="82"/>
      <c r="AH19" s="82"/>
      <c r="AI19" s="82"/>
      <c r="AJ19" s="82"/>
      <c r="AK19" s="82"/>
      <c r="AL19" s="78"/>
      <c r="AM19" s="78"/>
      <c r="AN19" s="78"/>
      <c r="AO19" s="78"/>
      <c r="AP19" s="81"/>
      <c r="AQ19" s="77"/>
      <c r="AR19" s="78"/>
      <c r="AS19" s="78"/>
      <c r="AT19" s="78"/>
      <c r="AU19" s="78"/>
      <c r="AV19" s="83"/>
      <c r="AW19" s="83"/>
      <c r="AX19" s="83"/>
      <c r="AY19" s="83"/>
      <c r="AZ19" s="83"/>
      <c r="BA19" s="78"/>
      <c r="BB19" s="78"/>
      <c r="BC19" s="78"/>
      <c r="BD19" s="78"/>
      <c r="BE19" s="81"/>
      <c r="BF19" s="77"/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81"/>
      <c r="BU19" s="38"/>
      <c r="BV19" s="39"/>
    </row>
    <row r="20" spans="2:74" ht="23.1" customHeight="1">
      <c r="B20" s="194">
        <v>3</v>
      </c>
      <c r="C20" s="195" t="s">
        <v>72</v>
      </c>
      <c r="D20" s="196"/>
      <c r="E20" s="197">
        <f>SUM(E21:E24)</f>
        <v>8</v>
      </c>
      <c r="F20" s="198">
        <f>SUM(F21:F24)</f>
        <v>8</v>
      </c>
      <c r="G20" s="199">
        <f>SUM(G21:G24)</f>
        <v>0</v>
      </c>
      <c r="H20" s="200"/>
      <c r="I20" s="206">
        <v>45913</v>
      </c>
      <c r="J20" s="206">
        <v>45919</v>
      </c>
      <c r="K20" s="207">
        <f>J20-I20+1</f>
        <v>7</v>
      </c>
      <c r="L20" s="201">
        <f t="shared" ref="L20:L25" si="1">IFERROR(F20/E20,"")</f>
        <v>1</v>
      </c>
      <c r="M20" s="73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5"/>
      <c r="AB20" s="73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5"/>
      <c r="AQ20" s="73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5"/>
      <c r="BF20" s="73"/>
      <c r="BG20" s="74"/>
      <c r="BH20" s="74"/>
      <c r="BI20" s="74"/>
      <c r="BJ20" s="74"/>
      <c r="BK20" s="78"/>
      <c r="BL20" s="78"/>
      <c r="BM20" s="78"/>
      <c r="BN20" s="78"/>
      <c r="BO20" s="78"/>
      <c r="BP20" s="78"/>
      <c r="BQ20" s="78"/>
      <c r="BR20" s="78"/>
      <c r="BS20" s="78"/>
      <c r="BT20" s="81"/>
      <c r="BU20" s="38"/>
      <c r="BV20" s="39"/>
    </row>
    <row r="21" spans="2:74" ht="23.1" customHeight="1">
      <c r="B21" s="150">
        <v>3.1</v>
      </c>
      <c r="C21" s="193" t="s">
        <v>103</v>
      </c>
      <c r="D21" s="152" t="s">
        <v>119</v>
      </c>
      <c r="E21" s="153">
        <v>3</v>
      </c>
      <c r="F21" s="154">
        <v>3</v>
      </c>
      <c r="G21" s="155">
        <f>E21-F21</f>
        <v>0</v>
      </c>
      <c r="H21" s="156"/>
      <c r="I21" s="157"/>
      <c r="J21" s="158"/>
      <c r="K21" s="213"/>
      <c r="L21" s="201">
        <f t="shared" si="1"/>
        <v>1</v>
      </c>
      <c r="M21" s="77"/>
      <c r="N21" s="78"/>
      <c r="O21" s="78"/>
      <c r="P21" s="78"/>
      <c r="Q21" s="78"/>
      <c r="R21" s="80"/>
      <c r="S21" s="80"/>
      <c r="T21" s="80"/>
      <c r="U21" s="80"/>
      <c r="V21" s="80"/>
      <c r="W21" s="78"/>
      <c r="X21" s="78"/>
      <c r="Y21" s="78"/>
      <c r="Z21" s="78"/>
      <c r="AA21" s="81"/>
      <c r="AB21" s="77"/>
      <c r="AC21" s="78"/>
      <c r="AD21" s="78"/>
      <c r="AE21" s="78"/>
      <c r="AF21" s="78"/>
      <c r="AG21" s="82"/>
      <c r="AH21" s="82"/>
      <c r="AI21" s="82"/>
      <c r="AJ21" s="82"/>
      <c r="AK21" s="82"/>
      <c r="AL21" s="78"/>
      <c r="AM21" s="78"/>
      <c r="AN21" s="78"/>
      <c r="AO21" s="78"/>
      <c r="AP21" s="81"/>
      <c r="AQ21" s="77"/>
      <c r="AR21" s="78"/>
      <c r="AS21" s="78"/>
      <c r="AT21" s="78"/>
      <c r="AU21" s="78"/>
      <c r="AV21" s="83"/>
      <c r="AW21" s="83"/>
      <c r="AX21" s="83"/>
      <c r="AY21" s="83"/>
      <c r="AZ21" s="83"/>
      <c r="BA21" s="78"/>
      <c r="BB21" s="78"/>
      <c r="BC21" s="78"/>
      <c r="BD21" s="78"/>
      <c r="BE21" s="81"/>
      <c r="BF21" s="77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81"/>
      <c r="BU21" s="38"/>
      <c r="BV21" s="39"/>
    </row>
    <row r="22" spans="2:74" ht="23.1" customHeight="1">
      <c r="B22" s="150">
        <v>3.2</v>
      </c>
      <c r="C22" s="193" t="s">
        <v>104</v>
      </c>
      <c r="D22" s="152" t="s">
        <v>119</v>
      </c>
      <c r="E22" s="153">
        <v>2</v>
      </c>
      <c r="F22" s="154">
        <v>2</v>
      </c>
      <c r="G22" s="155">
        <f>E22-F22</f>
        <v>0</v>
      </c>
      <c r="H22" s="156"/>
      <c r="I22" s="157"/>
      <c r="J22" s="158"/>
      <c r="K22" s="213"/>
      <c r="L22" s="201">
        <f t="shared" si="1"/>
        <v>1</v>
      </c>
      <c r="M22" s="77"/>
      <c r="N22" s="78"/>
      <c r="O22" s="78"/>
      <c r="P22" s="78"/>
      <c r="Q22" s="78"/>
      <c r="R22" s="80"/>
      <c r="S22" s="80"/>
      <c r="T22" s="80"/>
      <c r="U22" s="80"/>
      <c r="V22" s="80"/>
      <c r="W22" s="78"/>
      <c r="X22" s="78"/>
      <c r="Y22" s="78"/>
      <c r="Z22" s="78"/>
      <c r="AA22" s="81"/>
      <c r="AB22" s="77"/>
      <c r="AC22" s="78"/>
      <c r="AD22" s="78"/>
      <c r="AE22" s="78"/>
      <c r="AF22" s="78"/>
      <c r="AG22" s="82"/>
      <c r="AH22" s="82"/>
      <c r="AI22" s="82"/>
      <c r="AJ22" s="82"/>
      <c r="AK22" s="82"/>
      <c r="AL22" s="78"/>
      <c r="AM22" s="78"/>
      <c r="AN22" s="78"/>
      <c r="AO22" s="78"/>
      <c r="AP22" s="81"/>
      <c r="AQ22" s="77"/>
      <c r="AR22" s="78"/>
      <c r="AS22" s="78"/>
      <c r="AT22" s="78"/>
      <c r="AU22" s="78"/>
      <c r="AV22" s="83"/>
      <c r="AW22" s="83"/>
      <c r="AX22" s="83"/>
      <c r="AY22" s="83"/>
      <c r="AZ22" s="83"/>
      <c r="BA22" s="78"/>
      <c r="BB22" s="78"/>
      <c r="BC22" s="78"/>
      <c r="BD22" s="78"/>
      <c r="BE22" s="81"/>
      <c r="BF22" s="77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81"/>
      <c r="BU22" s="38"/>
      <c r="BV22" s="39"/>
    </row>
    <row r="23" spans="2:74" ht="23.1" customHeight="1">
      <c r="B23" s="150" t="s">
        <v>37</v>
      </c>
      <c r="C23" s="193" t="s">
        <v>105</v>
      </c>
      <c r="D23" s="152" t="s">
        <v>119</v>
      </c>
      <c r="E23" s="153">
        <v>2</v>
      </c>
      <c r="F23" s="154">
        <v>2</v>
      </c>
      <c r="G23" s="155">
        <f>E23-F23</f>
        <v>0</v>
      </c>
      <c r="H23" s="163"/>
      <c r="I23" s="157"/>
      <c r="J23" s="158"/>
      <c r="K23" s="213"/>
      <c r="L23" s="201">
        <f t="shared" si="1"/>
        <v>1</v>
      </c>
      <c r="M23" s="77"/>
      <c r="N23" s="78"/>
      <c r="O23" s="78"/>
      <c r="P23" s="78"/>
      <c r="Q23" s="78"/>
      <c r="R23" s="80"/>
      <c r="S23" s="80"/>
      <c r="T23" s="80"/>
      <c r="U23" s="80"/>
      <c r="V23" s="80"/>
      <c r="W23" s="78"/>
      <c r="X23" s="78"/>
      <c r="Y23" s="78"/>
      <c r="Z23" s="78"/>
      <c r="AA23" s="81"/>
      <c r="AB23" s="77"/>
      <c r="AC23" s="78"/>
      <c r="AD23" s="78"/>
      <c r="AE23" s="78"/>
      <c r="AF23" s="78"/>
      <c r="AG23" s="82"/>
      <c r="AH23" s="82"/>
      <c r="AI23" s="82"/>
      <c r="AJ23" s="82"/>
      <c r="AK23" s="82"/>
      <c r="AL23" s="78"/>
      <c r="AM23" s="78"/>
      <c r="AN23" s="78"/>
      <c r="AO23" s="78"/>
      <c r="AP23" s="81"/>
      <c r="AQ23" s="77"/>
      <c r="AR23" s="78"/>
      <c r="AS23" s="78"/>
      <c r="AT23" s="78"/>
      <c r="AU23" s="78"/>
      <c r="AV23" s="83"/>
      <c r="AW23" s="83"/>
      <c r="AX23" s="83"/>
      <c r="AY23" s="83"/>
      <c r="AZ23" s="83"/>
      <c r="BA23" s="78"/>
      <c r="BB23" s="78"/>
      <c r="BC23" s="78"/>
      <c r="BD23" s="78"/>
      <c r="BE23" s="81"/>
      <c r="BF23" s="77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81"/>
      <c r="BU23" s="38"/>
      <c r="BV23" s="39"/>
    </row>
    <row r="24" spans="2:74" ht="23.1" customHeight="1">
      <c r="B24" s="150" t="s">
        <v>38</v>
      </c>
      <c r="C24" s="193" t="s">
        <v>106</v>
      </c>
      <c r="D24" s="152" t="s">
        <v>119</v>
      </c>
      <c r="E24" s="153">
        <v>1</v>
      </c>
      <c r="F24" s="154">
        <v>1</v>
      </c>
      <c r="G24" s="155">
        <f>E24-F24</f>
        <v>0</v>
      </c>
      <c r="H24" s="163"/>
      <c r="I24" s="157"/>
      <c r="J24" s="158"/>
      <c r="K24" s="213"/>
      <c r="L24" s="201">
        <f t="shared" si="1"/>
        <v>1</v>
      </c>
      <c r="M24" s="77"/>
      <c r="N24" s="78"/>
      <c r="O24" s="78"/>
      <c r="P24" s="78"/>
      <c r="Q24" s="78"/>
      <c r="R24" s="80"/>
      <c r="S24" s="80"/>
      <c r="T24" s="80"/>
      <c r="U24" s="80"/>
      <c r="V24" s="80"/>
      <c r="W24" s="78"/>
      <c r="X24" s="78"/>
      <c r="Y24" s="78"/>
      <c r="Z24" s="78"/>
      <c r="AA24" s="81"/>
      <c r="AB24" s="77"/>
      <c r="AC24" s="78"/>
      <c r="AD24" s="78"/>
      <c r="AE24" s="78"/>
      <c r="AF24" s="78"/>
      <c r="AG24" s="82"/>
      <c r="AH24" s="82"/>
      <c r="AI24" s="82"/>
      <c r="AJ24" s="82"/>
      <c r="AK24" s="82"/>
      <c r="AL24" s="78"/>
      <c r="AM24" s="78"/>
      <c r="AN24" s="78"/>
      <c r="AO24" s="78"/>
      <c r="AP24" s="81"/>
      <c r="AQ24" s="77"/>
      <c r="AR24" s="78"/>
      <c r="AS24" s="78"/>
      <c r="AT24" s="78"/>
      <c r="AU24" s="78"/>
      <c r="AV24" s="83"/>
      <c r="AW24" s="83"/>
      <c r="AX24" s="83"/>
      <c r="AY24" s="83"/>
      <c r="AZ24" s="83"/>
      <c r="BA24" s="78"/>
      <c r="BB24" s="78"/>
      <c r="BC24" s="78"/>
      <c r="BD24" s="78"/>
      <c r="BE24" s="81"/>
      <c r="BF24" s="77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81"/>
      <c r="BU24" s="38"/>
      <c r="BV24" s="39"/>
    </row>
    <row r="25" spans="2:74" ht="23.1" customHeight="1">
      <c r="B25" s="194" t="s">
        <v>73</v>
      </c>
      <c r="C25" s="195" t="s">
        <v>74</v>
      </c>
      <c r="D25" s="196"/>
      <c r="E25" s="197">
        <f>SUM(E26:E29)</f>
        <v>12</v>
      </c>
      <c r="F25" s="198">
        <f>SUM(F26:F29)</f>
        <v>12</v>
      </c>
      <c r="G25" s="199">
        <f>SUM(G26:G29)</f>
        <v>0</v>
      </c>
      <c r="H25" s="200"/>
      <c r="I25" s="206">
        <v>45913</v>
      </c>
      <c r="J25" s="206">
        <v>45919</v>
      </c>
      <c r="K25" s="207">
        <f>J25-I25+1</f>
        <v>7</v>
      </c>
      <c r="L25" s="201">
        <f t="shared" si="1"/>
        <v>1</v>
      </c>
      <c r="M25" s="73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5"/>
      <c r="AB25" s="73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5"/>
      <c r="AQ25" s="73"/>
      <c r="AR25" s="74"/>
      <c r="AS25" s="74"/>
      <c r="AT25" s="74"/>
      <c r="AU25" s="74"/>
      <c r="AV25" s="74"/>
      <c r="AW25" s="74"/>
      <c r="AX25" s="74"/>
      <c r="AY25" s="74"/>
      <c r="AZ25" s="74"/>
      <c r="BA25" s="74"/>
      <c r="BB25" s="74"/>
      <c r="BC25" s="74"/>
      <c r="BD25" s="74"/>
      <c r="BE25" s="75"/>
      <c r="BF25" s="73"/>
      <c r="BG25" s="74"/>
      <c r="BH25" s="74"/>
      <c r="BI25" s="74"/>
      <c r="BJ25" s="74"/>
      <c r="BK25" s="78"/>
      <c r="BL25" s="78"/>
      <c r="BM25" s="78"/>
      <c r="BN25" s="78"/>
      <c r="BO25" s="78"/>
      <c r="BP25" s="78"/>
      <c r="BQ25" s="78"/>
      <c r="BR25" s="78"/>
      <c r="BS25" s="78"/>
      <c r="BT25" s="81"/>
      <c r="BU25" s="38"/>
      <c r="BV25" s="39"/>
    </row>
    <row r="26" spans="2:74" ht="23.1" customHeight="1">
      <c r="B26" s="150" t="s">
        <v>93</v>
      </c>
      <c r="C26" s="193" t="s">
        <v>107</v>
      </c>
      <c r="D26" s="152" t="s">
        <v>130</v>
      </c>
      <c r="E26" s="153">
        <v>2</v>
      </c>
      <c r="F26" s="154">
        <v>2</v>
      </c>
      <c r="G26" s="155">
        <f>E26-F26</f>
        <v>0</v>
      </c>
      <c r="H26" s="156"/>
      <c r="I26" s="157"/>
      <c r="J26" s="158"/>
      <c r="K26" s="213"/>
      <c r="L26" s="201">
        <f t="shared" ref="L26:L39" si="2">IFERROR(F26/E26,"")</f>
        <v>1</v>
      </c>
      <c r="M26" s="77"/>
      <c r="N26" s="78"/>
      <c r="O26" s="78"/>
      <c r="P26" s="78"/>
      <c r="Q26" s="78"/>
      <c r="R26" s="80"/>
      <c r="S26" s="80"/>
      <c r="T26" s="80"/>
      <c r="U26" s="80"/>
      <c r="V26" s="80"/>
      <c r="W26" s="78"/>
      <c r="X26" s="78"/>
      <c r="Y26" s="78"/>
      <c r="Z26" s="78"/>
      <c r="AA26" s="81"/>
      <c r="AB26" s="77"/>
      <c r="AC26" s="78"/>
      <c r="AD26" s="78"/>
      <c r="AE26" s="78"/>
      <c r="AF26" s="78"/>
      <c r="AG26" s="82"/>
      <c r="AH26" s="82"/>
      <c r="AI26" s="82"/>
      <c r="AJ26" s="82"/>
      <c r="AK26" s="82"/>
      <c r="AL26" s="78"/>
      <c r="AM26" s="78"/>
      <c r="AN26" s="78"/>
      <c r="AO26" s="78"/>
      <c r="AP26" s="81"/>
      <c r="AQ26" s="77"/>
      <c r="AR26" s="78"/>
      <c r="AS26" s="78"/>
      <c r="AT26" s="78"/>
      <c r="AU26" s="78"/>
      <c r="AV26" s="83"/>
      <c r="AW26" s="83"/>
      <c r="AX26" s="83"/>
      <c r="AY26" s="83"/>
      <c r="AZ26" s="83"/>
      <c r="BA26" s="78"/>
      <c r="BB26" s="78"/>
      <c r="BC26" s="78"/>
      <c r="BD26" s="78"/>
      <c r="BE26" s="81"/>
      <c r="BF26" s="77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81"/>
      <c r="BU26" s="38"/>
      <c r="BV26" s="39"/>
    </row>
    <row r="27" spans="2:74" ht="23.1" customHeight="1">
      <c r="B27" s="150" t="s">
        <v>94</v>
      </c>
      <c r="C27" s="193" t="s">
        <v>108</v>
      </c>
      <c r="D27" s="152" t="s">
        <v>130</v>
      </c>
      <c r="E27" s="153">
        <v>2</v>
      </c>
      <c r="F27" s="154">
        <v>2</v>
      </c>
      <c r="G27" s="155">
        <f>E27-F27</f>
        <v>0</v>
      </c>
      <c r="H27" s="156"/>
      <c r="I27" s="157"/>
      <c r="J27" s="158"/>
      <c r="K27" s="213"/>
      <c r="L27" s="201">
        <f t="shared" si="2"/>
        <v>1</v>
      </c>
      <c r="M27" s="77"/>
      <c r="N27" s="78"/>
      <c r="O27" s="78"/>
      <c r="P27" s="78"/>
      <c r="Q27" s="78"/>
      <c r="R27" s="80"/>
      <c r="S27" s="80"/>
      <c r="T27" s="80"/>
      <c r="U27" s="80"/>
      <c r="V27" s="80"/>
      <c r="W27" s="78"/>
      <c r="X27" s="78"/>
      <c r="Y27" s="78"/>
      <c r="Z27" s="78"/>
      <c r="AA27" s="81"/>
      <c r="AB27" s="77"/>
      <c r="AC27" s="78"/>
      <c r="AD27" s="78"/>
      <c r="AE27" s="78"/>
      <c r="AF27" s="78"/>
      <c r="AG27" s="82"/>
      <c r="AH27" s="82"/>
      <c r="AI27" s="82"/>
      <c r="AJ27" s="82"/>
      <c r="AK27" s="82"/>
      <c r="AL27" s="78"/>
      <c r="AM27" s="78"/>
      <c r="AN27" s="78"/>
      <c r="AO27" s="78"/>
      <c r="AP27" s="81"/>
      <c r="AQ27" s="77"/>
      <c r="AR27" s="78"/>
      <c r="AS27" s="78"/>
      <c r="AT27" s="78"/>
      <c r="AU27" s="78"/>
      <c r="AV27" s="83"/>
      <c r="AW27" s="83"/>
      <c r="AX27" s="83"/>
      <c r="AY27" s="83"/>
      <c r="AZ27" s="83"/>
      <c r="BA27" s="78"/>
      <c r="BB27" s="78"/>
      <c r="BC27" s="78"/>
      <c r="BD27" s="78"/>
      <c r="BE27" s="81"/>
      <c r="BF27" s="77"/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81"/>
      <c r="BU27" s="38"/>
      <c r="BV27" s="39"/>
    </row>
    <row r="28" spans="2:74" ht="23.1" customHeight="1">
      <c r="B28" s="150" t="s">
        <v>75</v>
      </c>
      <c r="C28" s="193" t="s">
        <v>109</v>
      </c>
      <c r="D28" s="152" t="s">
        <v>130</v>
      </c>
      <c r="E28" s="153">
        <v>6</v>
      </c>
      <c r="F28" s="154">
        <v>6</v>
      </c>
      <c r="G28" s="155">
        <f>E28-F28</f>
        <v>0</v>
      </c>
      <c r="H28" s="156"/>
      <c r="I28" s="157"/>
      <c r="J28" s="158"/>
      <c r="K28" s="213"/>
      <c r="L28" s="201">
        <f t="shared" si="2"/>
        <v>1</v>
      </c>
      <c r="M28" s="77"/>
      <c r="N28" s="78"/>
      <c r="O28" s="78"/>
      <c r="P28" s="78"/>
      <c r="Q28" s="78"/>
      <c r="R28" s="80"/>
      <c r="S28" s="80"/>
      <c r="T28" s="80"/>
      <c r="U28" s="80"/>
      <c r="V28" s="80"/>
      <c r="W28" s="78"/>
      <c r="X28" s="78"/>
      <c r="Y28" s="78"/>
      <c r="Z28" s="78"/>
      <c r="AA28" s="81"/>
      <c r="AB28" s="77"/>
      <c r="AC28" s="78"/>
      <c r="AD28" s="78"/>
      <c r="AE28" s="78"/>
      <c r="AF28" s="78"/>
      <c r="AG28" s="82"/>
      <c r="AH28" s="82"/>
      <c r="AI28" s="82"/>
      <c r="AJ28" s="82"/>
      <c r="AK28" s="82"/>
      <c r="AL28" s="78"/>
      <c r="AM28" s="78"/>
      <c r="AN28" s="78"/>
      <c r="AO28" s="78"/>
      <c r="AP28" s="81"/>
      <c r="AQ28" s="77"/>
      <c r="AR28" s="78"/>
      <c r="AS28" s="78"/>
      <c r="AT28" s="78"/>
      <c r="AU28" s="78"/>
      <c r="AV28" s="83"/>
      <c r="AW28" s="83"/>
      <c r="AX28" s="83"/>
      <c r="AY28" s="83"/>
      <c r="AZ28" s="83"/>
      <c r="BA28" s="78"/>
      <c r="BB28" s="78"/>
      <c r="BC28" s="78"/>
      <c r="BD28" s="78"/>
      <c r="BE28" s="81"/>
      <c r="BF28" s="77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81"/>
      <c r="BU28" s="38"/>
      <c r="BV28" s="39"/>
    </row>
    <row r="29" spans="2:74" ht="23.1" customHeight="1" thickBot="1">
      <c r="B29" s="150" t="s">
        <v>40</v>
      </c>
      <c r="C29" s="208" t="s">
        <v>110</v>
      </c>
      <c r="D29" s="152" t="s">
        <v>130</v>
      </c>
      <c r="E29" s="172">
        <v>2</v>
      </c>
      <c r="F29" s="173">
        <v>2</v>
      </c>
      <c r="G29" s="174">
        <f>E29-F29</f>
        <v>0</v>
      </c>
      <c r="H29" s="175"/>
      <c r="I29" s="176"/>
      <c r="J29" s="177"/>
      <c r="K29" s="214"/>
      <c r="L29" s="201">
        <f t="shared" si="2"/>
        <v>1</v>
      </c>
      <c r="M29" s="86"/>
      <c r="N29" s="87"/>
      <c r="O29" s="87"/>
      <c r="P29" s="87"/>
      <c r="Q29" s="87"/>
      <c r="R29" s="88"/>
      <c r="S29" s="88"/>
      <c r="T29" s="88"/>
      <c r="U29" s="88"/>
      <c r="V29" s="88"/>
      <c r="W29" s="87"/>
      <c r="X29" s="87"/>
      <c r="Y29" s="87"/>
      <c r="Z29" s="87"/>
      <c r="AA29" s="89"/>
      <c r="AB29" s="86"/>
      <c r="AC29" s="87"/>
      <c r="AD29" s="87"/>
      <c r="AE29" s="87"/>
      <c r="AF29" s="87"/>
      <c r="AG29" s="90"/>
      <c r="AH29" s="90"/>
      <c r="AI29" s="90"/>
      <c r="AJ29" s="90"/>
      <c r="AK29" s="90"/>
      <c r="AL29" s="87"/>
      <c r="AM29" s="87"/>
      <c r="AN29" s="87"/>
      <c r="AO29" s="87"/>
      <c r="AP29" s="89"/>
      <c r="AQ29" s="86"/>
      <c r="AR29" s="87"/>
      <c r="AS29" s="87"/>
      <c r="AT29" s="87"/>
      <c r="AU29" s="87"/>
      <c r="AV29" s="91"/>
      <c r="AW29" s="91"/>
      <c r="AX29" s="91"/>
      <c r="AY29" s="91"/>
      <c r="AZ29" s="91"/>
      <c r="BA29" s="87"/>
      <c r="BB29" s="87"/>
      <c r="BC29" s="87"/>
      <c r="BD29" s="87"/>
      <c r="BE29" s="89"/>
      <c r="BF29" s="86"/>
      <c r="BG29" s="87"/>
      <c r="BH29" s="87"/>
      <c r="BI29" s="87"/>
      <c r="BJ29" s="87"/>
      <c r="BK29" s="191"/>
      <c r="BL29" s="191"/>
      <c r="BM29" s="191"/>
      <c r="BN29" s="191"/>
      <c r="BO29" s="191"/>
      <c r="BP29" s="191"/>
      <c r="BQ29" s="191"/>
      <c r="BR29" s="191"/>
      <c r="BS29" s="191"/>
      <c r="BT29" s="192"/>
      <c r="BU29" s="38"/>
      <c r="BV29" s="39"/>
    </row>
    <row r="30" spans="2:74" ht="23.1" customHeight="1">
      <c r="B30" s="194" t="s">
        <v>76</v>
      </c>
      <c r="C30" s="195" t="s">
        <v>77</v>
      </c>
      <c r="D30" s="196"/>
      <c r="E30" s="197">
        <f>SUM(E31:E34)</f>
        <v>8</v>
      </c>
      <c r="F30" s="198">
        <f>SUM(F31:F34)</f>
        <v>8</v>
      </c>
      <c r="G30" s="199">
        <f>SUM(G31:G34)</f>
        <v>0</v>
      </c>
      <c r="H30" s="200"/>
      <c r="I30" s="206">
        <v>45913</v>
      </c>
      <c r="J30" s="206">
        <v>45919</v>
      </c>
      <c r="K30" s="207">
        <f>J30-I30+1</f>
        <v>7</v>
      </c>
      <c r="L30" s="201">
        <f t="shared" si="2"/>
        <v>1</v>
      </c>
      <c r="M30" s="73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5"/>
      <c r="AB30" s="73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5"/>
      <c r="AQ30" s="73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5"/>
      <c r="BF30" s="73"/>
      <c r="BG30" s="74"/>
      <c r="BH30" s="74"/>
      <c r="BI30" s="74"/>
      <c r="BJ30" s="74"/>
      <c r="BK30" s="191"/>
      <c r="BL30" s="191"/>
      <c r="BM30" s="191"/>
      <c r="BN30" s="191"/>
      <c r="BO30" s="191"/>
      <c r="BP30" s="191"/>
      <c r="BQ30" s="191"/>
      <c r="BR30" s="191"/>
      <c r="BS30" s="191"/>
      <c r="BT30" s="192"/>
      <c r="BU30" s="38"/>
      <c r="BV30" s="39"/>
    </row>
    <row r="31" spans="2:74" ht="23.1" customHeight="1">
      <c r="B31" s="150" t="s">
        <v>79</v>
      </c>
      <c r="C31" s="193" t="s">
        <v>111</v>
      </c>
      <c r="D31" s="152" t="s">
        <v>130</v>
      </c>
      <c r="E31" s="153">
        <v>3</v>
      </c>
      <c r="F31" s="154">
        <v>3</v>
      </c>
      <c r="G31" s="155">
        <f>E31-F31</f>
        <v>0</v>
      </c>
      <c r="H31" s="212"/>
      <c r="I31" s="157"/>
      <c r="J31" s="158"/>
      <c r="K31" s="213"/>
      <c r="L31" s="201">
        <f t="shared" si="2"/>
        <v>1</v>
      </c>
      <c r="M31" s="73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5"/>
      <c r="AB31" s="73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5"/>
      <c r="AQ31" s="73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5"/>
      <c r="BF31" s="73"/>
      <c r="BG31" s="74"/>
      <c r="BH31" s="74"/>
      <c r="BI31" s="74"/>
      <c r="BJ31" s="74"/>
      <c r="BK31" s="191"/>
      <c r="BL31" s="191"/>
      <c r="BM31" s="191"/>
      <c r="BN31" s="191"/>
      <c r="BO31" s="191"/>
      <c r="BP31" s="191"/>
      <c r="BQ31" s="191"/>
      <c r="BR31" s="191"/>
      <c r="BS31" s="191"/>
      <c r="BT31" s="192"/>
      <c r="BU31" s="38"/>
      <c r="BV31" s="39"/>
    </row>
    <row r="32" spans="2:74" ht="23.1" customHeight="1">
      <c r="B32" s="150" t="s">
        <v>80</v>
      </c>
      <c r="C32" s="193" t="s">
        <v>112</v>
      </c>
      <c r="D32" s="152" t="s">
        <v>130</v>
      </c>
      <c r="E32" s="153">
        <v>2</v>
      </c>
      <c r="F32" s="154">
        <v>2</v>
      </c>
      <c r="G32" s="155">
        <f>E32-F32</f>
        <v>0</v>
      </c>
      <c r="H32" s="212"/>
      <c r="I32" s="157"/>
      <c r="J32" s="158"/>
      <c r="K32" s="213"/>
      <c r="L32" s="201">
        <f t="shared" si="2"/>
        <v>1</v>
      </c>
      <c r="M32" s="73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5"/>
      <c r="AB32" s="73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5"/>
      <c r="AQ32" s="73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5"/>
      <c r="BF32" s="73"/>
      <c r="BG32" s="74"/>
      <c r="BH32" s="74"/>
      <c r="BI32" s="74"/>
      <c r="BJ32" s="74"/>
      <c r="BK32" s="191"/>
      <c r="BL32" s="191"/>
      <c r="BM32" s="191"/>
      <c r="BN32" s="191"/>
      <c r="BO32" s="191"/>
      <c r="BP32" s="191"/>
      <c r="BQ32" s="191"/>
      <c r="BR32" s="191"/>
      <c r="BS32" s="191"/>
      <c r="BT32" s="192"/>
      <c r="BU32" s="38"/>
      <c r="BV32" s="39"/>
    </row>
    <row r="33" spans="2:74" ht="23.1" customHeight="1">
      <c r="B33" s="150" t="s">
        <v>81</v>
      </c>
      <c r="C33" s="193" t="s">
        <v>113</v>
      </c>
      <c r="D33" s="152" t="s">
        <v>130</v>
      </c>
      <c r="E33" s="153">
        <v>2</v>
      </c>
      <c r="F33" s="154">
        <v>2</v>
      </c>
      <c r="G33" s="155">
        <f>E33-F33</f>
        <v>0</v>
      </c>
      <c r="H33" s="212"/>
      <c r="I33" s="157"/>
      <c r="J33" s="158"/>
      <c r="K33" s="213"/>
      <c r="L33" s="201">
        <f t="shared" si="2"/>
        <v>1</v>
      </c>
      <c r="M33" s="73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5"/>
      <c r="AB33" s="73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5"/>
      <c r="AQ33" s="73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5"/>
      <c r="BF33" s="73"/>
      <c r="BG33" s="74"/>
      <c r="BH33" s="74"/>
      <c r="BI33" s="74"/>
      <c r="BJ33" s="74"/>
      <c r="BK33" s="191"/>
      <c r="BL33" s="191"/>
      <c r="BM33" s="191"/>
      <c r="BN33" s="191"/>
      <c r="BO33" s="191"/>
      <c r="BP33" s="191"/>
      <c r="BQ33" s="191"/>
      <c r="BR33" s="191"/>
      <c r="BS33" s="191"/>
      <c r="BT33" s="192"/>
      <c r="BU33" s="38"/>
      <c r="BV33" s="39"/>
    </row>
    <row r="34" spans="2:74" ht="23.1" customHeight="1" thickBot="1">
      <c r="B34" s="150" t="s">
        <v>82</v>
      </c>
      <c r="C34" s="193" t="s">
        <v>114</v>
      </c>
      <c r="D34" s="152" t="s">
        <v>130</v>
      </c>
      <c r="E34" s="153">
        <v>1</v>
      </c>
      <c r="F34" s="154">
        <v>1</v>
      </c>
      <c r="G34" s="174">
        <f>E34-F34</f>
        <v>0</v>
      </c>
      <c r="H34" s="212"/>
      <c r="I34" s="157"/>
      <c r="J34" s="158"/>
      <c r="K34" s="214"/>
      <c r="L34" s="201">
        <f t="shared" si="2"/>
        <v>1</v>
      </c>
      <c r="M34" s="73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5"/>
      <c r="AB34" s="73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5"/>
      <c r="AQ34" s="73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5"/>
      <c r="BF34" s="73"/>
      <c r="BG34" s="74"/>
      <c r="BH34" s="74"/>
      <c r="BI34" s="74"/>
      <c r="BJ34" s="74"/>
      <c r="BK34" s="191"/>
      <c r="BL34" s="191"/>
      <c r="BM34" s="191"/>
      <c r="BN34" s="191"/>
      <c r="BO34" s="191"/>
      <c r="BP34" s="191"/>
      <c r="BQ34" s="191"/>
      <c r="BR34" s="191"/>
      <c r="BS34" s="191"/>
      <c r="BT34" s="192"/>
      <c r="BU34" s="38"/>
      <c r="BV34" s="39"/>
    </row>
    <row r="35" spans="2:74" ht="23.1" customHeight="1">
      <c r="B35" s="194" t="s">
        <v>78</v>
      </c>
      <c r="C35" s="195" t="s">
        <v>83</v>
      </c>
      <c r="D35" s="196"/>
      <c r="E35" s="197">
        <f>SUM(E36:E39)</f>
        <v>4</v>
      </c>
      <c r="F35" s="198">
        <f>SUM(F36:F39)</f>
        <v>4</v>
      </c>
      <c r="G35" s="199">
        <f>SUM(G36:G39)</f>
        <v>0</v>
      </c>
      <c r="H35" s="200"/>
      <c r="I35" s="206">
        <v>45913</v>
      </c>
      <c r="J35" s="206">
        <v>45919</v>
      </c>
      <c r="K35" s="207">
        <f>J35-I35+1</f>
        <v>7</v>
      </c>
      <c r="L35" s="201">
        <f t="shared" si="2"/>
        <v>1</v>
      </c>
      <c r="M35" s="73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5"/>
      <c r="AB35" s="73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5"/>
      <c r="AQ35" s="73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5"/>
      <c r="BF35" s="73"/>
      <c r="BG35" s="74"/>
      <c r="BH35" s="74"/>
      <c r="BI35" s="74"/>
      <c r="BJ35" s="74"/>
      <c r="BK35" s="191"/>
      <c r="BL35" s="191"/>
      <c r="BM35" s="191"/>
      <c r="BN35" s="191"/>
      <c r="BO35" s="191"/>
      <c r="BP35" s="191"/>
      <c r="BQ35" s="191"/>
      <c r="BR35" s="191"/>
      <c r="BS35" s="191"/>
      <c r="BT35" s="192"/>
      <c r="BU35" s="38"/>
      <c r="BV35" s="39"/>
    </row>
    <row r="36" spans="2:74" ht="23.1" customHeight="1">
      <c r="B36" s="150" t="s">
        <v>84</v>
      </c>
      <c r="C36" s="193" t="s">
        <v>115</v>
      </c>
      <c r="D36" s="152" t="s">
        <v>129</v>
      </c>
      <c r="E36" s="153">
        <v>1</v>
      </c>
      <c r="F36" s="154">
        <v>1</v>
      </c>
      <c r="G36" s="155">
        <f>E36-F36</f>
        <v>0</v>
      </c>
      <c r="H36" s="212"/>
      <c r="I36" s="157"/>
      <c r="J36" s="158"/>
      <c r="K36" s="213"/>
      <c r="L36" s="201">
        <f t="shared" si="2"/>
        <v>1</v>
      </c>
      <c r="M36" s="73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5"/>
      <c r="AB36" s="73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5"/>
      <c r="AQ36" s="73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5"/>
      <c r="BF36" s="73"/>
      <c r="BG36" s="74"/>
      <c r="BH36" s="74"/>
      <c r="BI36" s="74"/>
      <c r="BJ36" s="74"/>
      <c r="BK36" s="191"/>
      <c r="BL36" s="191"/>
      <c r="BM36" s="191"/>
      <c r="BN36" s="191"/>
      <c r="BO36" s="191"/>
      <c r="BP36" s="191"/>
      <c r="BQ36" s="191"/>
      <c r="BR36" s="191"/>
      <c r="BS36" s="191"/>
      <c r="BT36" s="192"/>
      <c r="BU36" s="38"/>
      <c r="BV36" s="39"/>
    </row>
    <row r="37" spans="2:74" ht="23.1" customHeight="1">
      <c r="B37" s="150" t="s">
        <v>85</v>
      </c>
      <c r="C37" s="193" t="s">
        <v>116</v>
      </c>
      <c r="D37" s="152" t="s">
        <v>129</v>
      </c>
      <c r="E37" s="153">
        <v>1</v>
      </c>
      <c r="F37" s="154">
        <v>1</v>
      </c>
      <c r="G37" s="155">
        <f>E37-F37</f>
        <v>0</v>
      </c>
      <c r="H37" s="212"/>
      <c r="I37" s="157"/>
      <c r="J37" s="158"/>
      <c r="K37" s="213"/>
      <c r="L37" s="201">
        <f t="shared" si="2"/>
        <v>1</v>
      </c>
      <c r="M37" s="73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5"/>
      <c r="AB37" s="73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5"/>
      <c r="AQ37" s="73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5"/>
      <c r="BF37" s="73"/>
      <c r="BG37" s="74"/>
      <c r="BH37" s="74"/>
      <c r="BI37" s="74"/>
      <c r="BJ37" s="74"/>
      <c r="BK37" s="191"/>
      <c r="BL37" s="191"/>
      <c r="BM37" s="191"/>
      <c r="BN37" s="191"/>
      <c r="BO37" s="191"/>
      <c r="BP37" s="191"/>
      <c r="BQ37" s="191"/>
      <c r="BR37" s="191"/>
      <c r="BS37" s="191"/>
      <c r="BT37" s="192"/>
      <c r="BU37" s="38"/>
      <c r="BV37" s="39"/>
    </row>
    <row r="38" spans="2:74" ht="23.1" customHeight="1">
      <c r="B38" s="150" t="s">
        <v>86</v>
      </c>
      <c r="C38" s="193" t="s">
        <v>117</v>
      </c>
      <c r="D38" s="152" t="s">
        <v>129</v>
      </c>
      <c r="E38" s="153">
        <v>1</v>
      </c>
      <c r="F38" s="154">
        <v>1</v>
      </c>
      <c r="G38" s="155">
        <f>E38-F38</f>
        <v>0</v>
      </c>
      <c r="H38" s="212"/>
      <c r="I38" s="157"/>
      <c r="J38" s="158"/>
      <c r="K38" s="213"/>
      <c r="L38" s="201">
        <f t="shared" si="2"/>
        <v>1</v>
      </c>
      <c r="M38" s="73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5"/>
      <c r="AB38" s="73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5"/>
      <c r="AQ38" s="73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5"/>
      <c r="BF38" s="73"/>
      <c r="BG38" s="74"/>
      <c r="BH38" s="74"/>
      <c r="BI38" s="74"/>
      <c r="BJ38" s="74"/>
      <c r="BK38" s="191"/>
      <c r="BL38" s="191"/>
      <c r="BM38" s="191"/>
      <c r="BN38" s="191"/>
      <c r="BO38" s="191"/>
      <c r="BP38" s="191"/>
      <c r="BQ38" s="191"/>
      <c r="BR38" s="191"/>
      <c r="BS38" s="191"/>
      <c r="BT38" s="192"/>
      <c r="BU38" s="38"/>
      <c r="BV38" s="39"/>
    </row>
    <row r="39" spans="2:74" ht="23.1" customHeight="1" thickBot="1">
      <c r="B39" s="150" t="s">
        <v>87</v>
      </c>
      <c r="C39" s="193" t="s">
        <v>118</v>
      </c>
      <c r="D39" s="152" t="s">
        <v>129</v>
      </c>
      <c r="E39" s="219">
        <v>1</v>
      </c>
      <c r="F39" s="220">
        <v>1</v>
      </c>
      <c r="G39" s="190">
        <f>E39-F39</f>
        <v>0</v>
      </c>
      <c r="H39" s="221"/>
      <c r="I39" s="222"/>
      <c r="J39" s="158"/>
      <c r="K39" s="214"/>
      <c r="L39" s="201">
        <f t="shared" si="2"/>
        <v>1</v>
      </c>
      <c r="M39" s="73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5"/>
      <c r="AB39" s="73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5"/>
      <c r="AQ39" s="73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5"/>
      <c r="BF39" s="73"/>
      <c r="BG39" s="74"/>
      <c r="BH39" s="74"/>
      <c r="BI39" s="74"/>
      <c r="BJ39" s="74"/>
      <c r="BK39" s="87"/>
      <c r="BL39" s="87"/>
      <c r="BM39" s="87"/>
      <c r="BN39" s="87"/>
      <c r="BO39" s="87"/>
      <c r="BP39" s="87"/>
      <c r="BQ39" s="87"/>
      <c r="BR39" s="87"/>
      <c r="BS39" s="87"/>
      <c r="BT39" s="89"/>
      <c r="BU39" s="38"/>
      <c r="BV39" s="39"/>
    </row>
    <row r="40" spans="2:74" ht="23.1" customHeight="1">
      <c r="B40" s="38"/>
      <c r="C40" s="38"/>
      <c r="D40" s="223"/>
      <c r="E40" s="224" t="s">
        <v>28</v>
      </c>
      <c r="F40" s="224" t="s">
        <v>29</v>
      </c>
      <c r="G40" s="224" t="s">
        <v>30</v>
      </c>
      <c r="H40" s="224" t="s">
        <v>41</v>
      </c>
      <c r="I40" s="224" t="s">
        <v>42</v>
      </c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9"/>
    </row>
    <row r="41" spans="2:74" ht="23.1" customHeight="1">
      <c r="B41" s="38"/>
      <c r="C41" s="36" t="s">
        <v>43</v>
      </c>
      <c r="D41" s="215" t="s">
        <v>44</v>
      </c>
      <c r="E41" s="216">
        <f>SUM(E11:E14,E16:E19,E21:E24,E26:E29,E31:E34,E36:E39)</f>
        <v>52</v>
      </c>
      <c r="F41" s="216">
        <f>SUM(F11:F14,F16:F19,F21:F24,F26:F29,F31:F34,F36:F39)</f>
        <v>52</v>
      </c>
      <c r="G41" s="216">
        <f>SUM(G11:G14,G16:G19,G21:G24,G26:G29,G31:G34,G36:G39)</f>
        <v>0</v>
      </c>
      <c r="H41" s="217">
        <v>7</v>
      </c>
      <c r="I41" s="218">
        <f>E41/H41</f>
        <v>7.4285714285714288</v>
      </c>
      <c r="J41" s="38"/>
      <c r="K41" s="38"/>
      <c r="L41" s="182" t="s">
        <v>45</v>
      </c>
      <c r="M41" s="95">
        <v>1</v>
      </c>
      <c r="N41" s="95">
        <v>2</v>
      </c>
      <c r="O41" s="95">
        <v>3</v>
      </c>
      <c r="P41" s="95">
        <v>4</v>
      </c>
      <c r="Q41" s="95">
        <v>5</v>
      </c>
      <c r="R41" s="95">
        <v>6</v>
      </c>
      <c r="S41" s="95">
        <v>7</v>
      </c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38"/>
      <c r="BV41" s="137" t="s">
        <v>46</v>
      </c>
    </row>
    <row r="42" spans="2:74" ht="23.1" customHeight="1">
      <c r="B42" s="38"/>
      <c r="C42" s="38"/>
      <c r="D42" s="38"/>
      <c r="E42" s="38"/>
      <c r="F42" s="38"/>
      <c r="G42" s="38"/>
      <c r="H42" s="96" t="s">
        <v>47</v>
      </c>
      <c r="I42" s="38"/>
      <c r="J42" s="38"/>
      <c r="K42" s="38"/>
      <c r="L42" s="182" t="s">
        <v>48</v>
      </c>
      <c r="M42" s="97">
        <f>E41</f>
        <v>52</v>
      </c>
      <c r="N42" s="98">
        <f>M42-I41</f>
        <v>44.571428571428569</v>
      </c>
      <c r="O42" s="98">
        <f>N42-I41</f>
        <v>37.142857142857139</v>
      </c>
      <c r="P42" s="98">
        <f>O42-I41</f>
        <v>29.714285714285708</v>
      </c>
      <c r="Q42" s="98">
        <f>P42-I41</f>
        <v>22.285714285714278</v>
      </c>
      <c r="R42" s="98">
        <f>Q42-I41</f>
        <v>14.857142857142849</v>
      </c>
      <c r="S42" s="98">
        <f>R42-I41</f>
        <v>7.4285714285714199</v>
      </c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38"/>
      <c r="BV42" s="138" t="s">
        <v>49</v>
      </c>
    </row>
    <row r="43" spans="2:74" ht="23.1" customHeight="1"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182" t="s">
        <v>28</v>
      </c>
      <c r="M43" s="97">
        <f>E41</f>
        <v>52</v>
      </c>
      <c r="N43" s="97">
        <f t="shared" ref="N43:S43" si="3">M45</f>
        <v>44</v>
      </c>
      <c r="O43" s="97">
        <f t="shared" si="3"/>
        <v>32</v>
      </c>
      <c r="P43" s="97">
        <f t="shared" si="3"/>
        <v>24</v>
      </c>
      <c r="Q43" s="97">
        <f t="shared" si="3"/>
        <v>15</v>
      </c>
      <c r="R43" s="97">
        <f t="shared" si="3"/>
        <v>11</v>
      </c>
      <c r="S43" s="97">
        <f t="shared" si="3"/>
        <v>10</v>
      </c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97"/>
      <c r="AO43" s="97"/>
      <c r="AP43" s="97"/>
      <c r="AQ43" s="97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38"/>
      <c r="BV43" s="139">
        <f>SUM(M43:BT43)</f>
        <v>188</v>
      </c>
    </row>
    <row r="44" spans="2:74" ht="23.1" customHeight="1">
      <c r="B44" s="38"/>
      <c r="C44" s="38"/>
      <c r="D44" s="38"/>
      <c r="E44" s="38"/>
      <c r="F44" s="38"/>
      <c r="G44" s="38"/>
      <c r="H44" s="38"/>
      <c r="I44" s="38"/>
      <c r="J44" s="38"/>
      <c r="K44" s="99" t="s">
        <v>50</v>
      </c>
      <c r="L44" s="182" t="s">
        <v>51</v>
      </c>
      <c r="M44" s="76">
        <v>8</v>
      </c>
      <c r="N44" s="76">
        <v>12</v>
      </c>
      <c r="O44" s="76">
        <v>8</v>
      </c>
      <c r="P44" s="76">
        <v>9</v>
      </c>
      <c r="Q44" s="76">
        <v>4</v>
      </c>
      <c r="R44" s="76">
        <v>1</v>
      </c>
      <c r="S44" s="76">
        <v>10</v>
      </c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76"/>
      <c r="BC44" s="76"/>
      <c r="BD44" s="76"/>
      <c r="BE44" s="76"/>
      <c r="BF44" s="76"/>
      <c r="BG44" s="76"/>
      <c r="BH44" s="76"/>
      <c r="BI44" s="76"/>
      <c r="BJ44" s="76"/>
      <c r="BK44" s="76"/>
      <c r="BL44" s="76"/>
      <c r="BM44" s="76"/>
      <c r="BN44" s="76"/>
      <c r="BO44" s="76"/>
      <c r="BP44" s="76"/>
      <c r="BQ44" s="76"/>
      <c r="BR44" s="76"/>
      <c r="BS44" s="76"/>
      <c r="BT44" s="76"/>
      <c r="BU44" s="38"/>
      <c r="BV44" s="140">
        <f>SUM(M44:BT44)</f>
        <v>52</v>
      </c>
    </row>
    <row r="45" spans="2:74" ht="23.1" customHeight="1"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182" t="s">
        <v>52</v>
      </c>
      <c r="M45" s="97">
        <f t="shared" ref="M45:S45" si="4">M43-M44</f>
        <v>44</v>
      </c>
      <c r="N45" s="97">
        <f t="shared" si="4"/>
        <v>32</v>
      </c>
      <c r="O45" s="97">
        <f t="shared" si="4"/>
        <v>24</v>
      </c>
      <c r="P45" s="97">
        <f t="shared" si="4"/>
        <v>15</v>
      </c>
      <c r="Q45" s="97">
        <f t="shared" si="4"/>
        <v>11</v>
      </c>
      <c r="R45" s="97">
        <f t="shared" si="4"/>
        <v>10</v>
      </c>
      <c r="S45" s="97">
        <f t="shared" si="4"/>
        <v>0</v>
      </c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97"/>
      <c r="AO45" s="97"/>
      <c r="AP45" s="97"/>
      <c r="AQ45" s="97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38"/>
      <c r="BV45" s="140">
        <f>SUM(M45:BT45)</f>
        <v>136</v>
      </c>
    </row>
    <row r="46" spans="2:74" ht="19.5" customHeight="1">
      <c r="C46" s="36" t="s">
        <v>53</v>
      </c>
      <c r="I46" s="210"/>
    </row>
    <row r="47" spans="2:74" ht="381.95" customHeight="1"/>
    <row r="48" spans="2:74" ht="216.95" customHeight="1"/>
    <row r="50" spans="2:74" ht="50.1" customHeight="1">
      <c r="B50" s="253"/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4"/>
      <c r="AM50" s="254"/>
      <c r="AN50" s="254"/>
      <c r="AO50" s="254"/>
      <c r="AP50" s="254"/>
      <c r="AQ50" s="254"/>
      <c r="AR50" s="254"/>
      <c r="AS50" s="254"/>
      <c r="AT50" s="254"/>
      <c r="AU50" s="254"/>
      <c r="AV50" s="254"/>
      <c r="AW50" s="254"/>
      <c r="AX50" s="254"/>
      <c r="AY50" s="254"/>
      <c r="AZ50" s="254"/>
      <c r="BA50" s="254"/>
      <c r="BB50" s="254"/>
      <c r="BC50" s="254"/>
      <c r="BD50" s="254"/>
      <c r="BE50" s="254"/>
      <c r="BF50" s="254"/>
      <c r="BG50" s="254"/>
      <c r="BH50" s="254"/>
      <c r="BI50" s="254"/>
      <c r="BJ50" s="254"/>
      <c r="BK50" s="254"/>
      <c r="BL50" s="254"/>
      <c r="BM50" s="254"/>
      <c r="BN50" s="254"/>
      <c r="BO50" s="254"/>
      <c r="BP50" s="254"/>
      <c r="BQ50" s="254"/>
      <c r="BR50" s="254"/>
      <c r="BS50" s="254"/>
      <c r="BT50" s="254"/>
      <c r="BU50" s="254"/>
      <c r="BV50" s="255"/>
    </row>
  </sheetData>
  <mergeCells count="23">
    <mergeCell ref="B50:BV50"/>
    <mergeCell ref="E8:G8"/>
    <mergeCell ref="K3:K7"/>
    <mergeCell ref="K8:K9"/>
    <mergeCell ref="L8:L9"/>
    <mergeCell ref="M8:Q8"/>
    <mergeCell ref="R8:V8"/>
    <mergeCell ref="AQ8:AU8"/>
    <mergeCell ref="W8:AA8"/>
    <mergeCell ref="AB8:AF8"/>
    <mergeCell ref="AG8:AK8"/>
    <mergeCell ref="AL8:AP8"/>
    <mergeCell ref="AV8:AZ8"/>
    <mergeCell ref="BA8:BE8"/>
    <mergeCell ref="BF8:BJ8"/>
    <mergeCell ref="BK8:BO8"/>
    <mergeCell ref="BP8:BT8"/>
    <mergeCell ref="B8:B9"/>
    <mergeCell ref="H8:H9"/>
    <mergeCell ref="D8:D9"/>
    <mergeCell ref="I8:I9"/>
    <mergeCell ref="J8:J9"/>
    <mergeCell ref="C8:C9"/>
  </mergeCells>
  <phoneticPr fontId="34" type="noConversion"/>
  <conditionalFormatting sqref="L10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{9D7C32C4-CC3F-41E3-BCD4-24C7E830DA41}</x14:id>
        </ext>
      </extLst>
    </cfRule>
  </conditionalFormatting>
  <conditionalFormatting sqref="L10:L14">
    <cfRule type="dataBar" priority="16">
      <dataBar>
        <cfvo type="percent" val="1"/>
        <cfvo type="percent" val="100"/>
        <color theme="8" tint="0.59999389629810485"/>
      </dataBar>
    </cfRule>
  </conditionalFormatting>
  <conditionalFormatting sqref="L10:L3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{53649E2A-D2B2-41D5-BC32-C7DD2172CEBC}</x14:id>
        </ext>
      </extLst>
    </cfRule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{9F5915D6-AB44-4E0B-BF55-FA81FEDDBF79}</x14:id>
        </ext>
      </extLst>
    </cfRule>
  </conditionalFormatting>
  <conditionalFormatting sqref="L15:L39">
    <cfRule type="dataBar" priority="4">
      <dataBar>
        <cfvo type="percent" val="1"/>
        <cfvo type="percent" val="100"/>
        <color theme="8" tint="0.59999389629810485"/>
      </dataBar>
    </cfRule>
  </conditionalFormatting>
  <pageMargins left="0.3" right="0.3" top="0.3" bottom="0.3" header="0" footer="0"/>
  <pageSetup scale="32" fitToHeight="0" orientation="landscape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7C32C4-CC3F-41E3-BCD4-24C7E830DA4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L10</xm:sqref>
        </x14:conditionalFormatting>
        <x14:conditionalFormatting xmlns:xm="http://schemas.microsoft.com/office/excel/2006/main">
          <x14:cfRule type="dataBar" id="{53649E2A-D2B2-41D5-BC32-C7DD2172CEBC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5915D6-AB44-4E0B-BF55-FA81FEDDBF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L10:L39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1EA0A-735B-4159-80FB-DA2EA9EA0655}">
  <sheetPr>
    <tabColor theme="3"/>
    <pageSetUpPr fitToPage="1"/>
  </sheetPr>
  <dimension ref="A1:BV50"/>
  <sheetViews>
    <sheetView showGridLines="0" zoomScale="80" zoomScaleNormal="80" zoomScalePageLayoutView="70" workbookViewId="0">
      <pane ySplit="1" topLeftCell="A14" activePane="bottomLeft" state="frozen"/>
      <selection pane="bottomLeft" activeCell="AK47" sqref="AK47"/>
    </sheetView>
  </sheetViews>
  <sheetFormatPr baseColWidth="10" defaultColWidth="11.125" defaultRowHeight="15.75"/>
  <cols>
    <col min="1" max="1" width="3.25" style="230" customWidth="1"/>
    <col min="2" max="2" width="10.5" style="230" customWidth="1"/>
    <col min="3" max="3" width="34.375" style="230" customWidth="1"/>
    <col min="4" max="4" width="22" style="230" customWidth="1"/>
    <col min="5" max="8" width="9" style="230" customWidth="1"/>
    <col min="9" max="10" width="10.875" style="230" customWidth="1"/>
    <col min="11" max="11" width="9.75" style="230" customWidth="1"/>
    <col min="12" max="12" width="15" style="230" customWidth="1"/>
    <col min="13" max="72" width="3.875" style="230" customWidth="1"/>
    <col min="73" max="73" width="1" style="230" customWidth="1"/>
    <col min="74" max="74" width="8.5" style="231" customWidth="1"/>
    <col min="75" max="75" width="3.25" style="230" customWidth="1"/>
    <col min="76" max="16384" width="11.125" style="230"/>
  </cols>
  <sheetData>
    <row r="1" spans="1:74" ht="45" customHeight="1">
      <c r="A1" s="31"/>
      <c r="B1" s="32" t="s">
        <v>131</v>
      </c>
      <c r="C1" s="33"/>
      <c r="D1" s="33"/>
      <c r="E1" s="33"/>
      <c r="F1" s="33"/>
      <c r="G1" s="33"/>
      <c r="H1" s="33"/>
      <c r="I1" s="33"/>
      <c r="J1" s="34"/>
      <c r="K1" s="34"/>
      <c r="L1" s="34"/>
      <c r="M1" s="34"/>
      <c r="N1" s="34"/>
      <c r="O1" s="34"/>
      <c r="P1" s="34"/>
    </row>
    <row r="2" spans="1:74" s="231" customFormat="1" ht="35.1" customHeight="1" thickBot="1">
      <c r="B2" s="106"/>
      <c r="C2" s="37"/>
      <c r="D2" s="37"/>
      <c r="E2" s="37"/>
      <c r="F2" s="36"/>
      <c r="G2" s="37"/>
      <c r="H2" s="37"/>
      <c r="I2" s="37"/>
      <c r="J2" s="37"/>
      <c r="K2" s="37"/>
      <c r="L2" s="37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</row>
    <row r="3" spans="1:74" ht="23.1" customHeight="1">
      <c r="B3" s="40"/>
      <c r="C3" s="40"/>
      <c r="D3" s="40"/>
      <c r="E3" s="40"/>
      <c r="F3" s="40"/>
      <c r="G3" s="40"/>
      <c r="H3" s="40"/>
      <c r="I3" s="40"/>
      <c r="J3" s="41"/>
      <c r="K3" s="259" t="s">
        <v>1</v>
      </c>
      <c r="L3" s="42" t="s">
        <v>2</v>
      </c>
      <c r="M3" s="43"/>
      <c r="N3" s="43"/>
      <c r="O3" s="43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6"/>
      <c r="BU3" s="38"/>
      <c r="BV3" s="39"/>
    </row>
    <row r="4" spans="1:74" ht="23.1" customHeight="1">
      <c r="B4" s="40"/>
      <c r="C4" s="40"/>
      <c r="D4" s="40"/>
      <c r="E4" s="40"/>
      <c r="F4" s="40"/>
      <c r="G4" s="40"/>
      <c r="H4" s="40"/>
      <c r="I4" s="40"/>
      <c r="J4" s="41"/>
      <c r="K4" s="260"/>
      <c r="L4" s="47" t="s">
        <v>3</v>
      </c>
      <c r="M4" s="48"/>
      <c r="N4" s="48"/>
      <c r="O4" s="48"/>
      <c r="P4" s="49"/>
      <c r="Q4" s="49"/>
      <c r="R4" s="49"/>
      <c r="S4" s="49"/>
      <c r="T4" s="49"/>
      <c r="U4" s="49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51"/>
      <c r="BU4" s="38"/>
      <c r="BV4" s="39"/>
    </row>
    <row r="5" spans="1:74" ht="23.1" customHeight="1">
      <c r="B5" s="36"/>
      <c r="C5" s="37"/>
      <c r="D5" s="37"/>
      <c r="E5" s="37"/>
      <c r="F5" s="37"/>
      <c r="G5" s="37"/>
      <c r="H5" s="37"/>
      <c r="I5" s="36"/>
      <c r="J5" s="37"/>
      <c r="K5" s="260"/>
      <c r="L5" s="52" t="s">
        <v>4</v>
      </c>
      <c r="M5" s="48"/>
      <c r="N5" s="48"/>
      <c r="O5" s="48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53"/>
      <c r="AB5" s="53"/>
      <c r="AC5" s="53"/>
      <c r="AD5" s="53"/>
      <c r="AE5" s="53"/>
      <c r="AF5" s="53"/>
      <c r="AG5" s="53"/>
      <c r="AH5" s="53"/>
      <c r="AI5" s="53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1"/>
      <c r="BU5" s="38"/>
      <c r="BV5" s="39"/>
    </row>
    <row r="6" spans="1:74" ht="23.1" customHeight="1">
      <c r="B6" s="36"/>
      <c r="C6" s="37"/>
      <c r="D6" s="37"/>
      <c r="E6" s="37"/>
      <c r="F6" s="37"/>
      <c r="G6" s="37"/>
      <c r="H6" s="37"/>
      <c r="I6" s="36"/>
      <c r="J6" s="37"/>
      <c r="K6" s="260"/>
      <c r="L6" s="54" t="s">
        <v>5</v>
      </c>
      <c r="M6" s="48"/>
      <c r="N6" s="48"/>
      <c r="O6" s="48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51"/>
      <c r="BU6" s="38"/>
      <c r="BV6" s="39"/>
    </row>
    <row r="7" spans="1:74" ht="23.1" customHeight="1" thickBot="1">
      <c r="B7" s="36"/>
      <c r="C7" s="37"/>
      <c r="D7" s="37"/>
      <c r="E7" s="37"/>
      <c r="F7" s="37"/>
      <c r="G7" s="37"/>
      <c r="H7" s="37"/>
      <c r="I7" s="36"/>
      <c r="J7" s="37"/>
      <c r="K7" s="261"/>
      <c r="L7" s="56" t="s">
        <v>6</v>
      </c>
      <c r="M7" s="48"/>
      <c r="N7" s="48"/>
      <c r="O7" s="48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57"/>
      <c r="AX7" s="57"/>
      <c r="AY7" s="57"/>
      <c r="AZ7" s="57"/>
      <c r="BA7" s="57"/>
      <c r="BB7" s="57"/>
      <c r="BC7" s="57"/>
      <c r="BD7" s="57"/>
      <c r="BE7" s="57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51"/>
      <c r="BU7" s="38"/>
      <c r="BV7" s="39"/>
    </row>
    <row r="8" spans="1:74" ht="23.1" customHeight="1" thickBot="1">
      <c r="B8" s="242" t="s">
        <v>7</v>
      </c>
      <c r="C8" s="251" t="s">
        <v>8</v>
      </c>
      <c r="D8" s="246" t="s">
        <v>9</v>
      </c>
      <c r="E8" s="256" t="s">
        <v>10</v>
      </c>
      <c r="F8" s="257"/>
      <c r="G8" s="258"/>
      <c r="H8" s="244" t="s">
        <v>11</v>
      </c>
      <c r="I8" s="248" t="s">
        <v>12</v>
      </c>
      <c r="J8" s="249" t="s">
        <v>13</v>
      </c>
      <c r="K8" s="262" t="s">
        <v>14</v>
      </c>
      <c r="L8" s="263" t="s">
        <v>15</v>
      </c>
      <c r="M8" s="265" t="s">
        <v>16</v>
      </c>
      <c r="N8" s="240"/>
      <c r="O8" s="240"/>
      <c r="P8" s="240"/>
      <c r="Q8" s="241"/>
      <c r="R8" s="266" t="s">
        <v>17</v>
      </c>
      <c r="S8" s="240"/>
      <c r="T8" s="240"/>
      <c r="U8" s="240"/>
      <c r="V8" s="241"/>
      <c r="W8" s="266" t="s">
        <v>18</v>
      </c>
      <c r="X8" s="240"/>
      <c r="Y8" s="240"/>
      <c r="Z8" s="240"/>
      <c r="AA8" s="241"/>
      <c r="AB8" s="268" t="s">
        <v>19</v>
      </c>
      <c r="AC8" s="240"/>
      <c r="AD8" s="240"/>
      <c r="AE8" s="240"/>
      <c r="AF8" s="241"/>
      <c r="AG8" s="269" t="s">
        <v>20</v>
      </c>
      <c r="AH8" s="240"/>
      <c r="AI8" s="240"/>
      <c r="AJ8" s="240"/>
      <c r="AK8" s="241"/>
      <c r="AL8" s="269" t="s">
        <v>21</v>
      </c>
      <c r="AM8" s="240"/>
      <c r="AN8" s="240"/>
      <c r="AO8" s="240"/>
      <c r="AP8" s="241"/>
      <c r="AQ8" s="267" t="s">
        <v>22</v>
      </c>
      <c r="AR8" s="240"/>
      <c r="AS8" s="240"/>
      <c r="AT8" s="240"/>
      <c r="AU8" s="241"/>
      <c r="AV8" s="270" t="s">
        <v>23</v>
      </c>
      <c r="AW8" s="240"/>
      <c r="AX8" s="240"/>
      <c r="AY8" s="240"/>
      <c r="AZ8" s="241"/>
      <c r="BA8" s="270" t="s">
        <v>24</v>
      </c>
      <c r="BB8" s="240"/>
      <c r="BC8" s="240"/>
      <c r="BD8" s="240"/>
      <c r="BE8" s="241"/>
      <c r="BF8" s="271" t="s">
        <v>25</v>
      </c>
      <c r="BG8" s="240"/>
      <c r="BH8" s="240"/>
      <c r="BI8" s="240"/>
      <c r="BJ8" s="241"/>
      <c r="BK8" s="239"/>
      <c r="BL8" s="240"/>
      <c r="BM8" s="240"/>
      <c r="BN8" s="240"/>
      <c r="BO8" s="241"/>
      <c r="BP8" s="239"/>
      <c r="BQ8" s="240"/>
      <c r="BR8" s="240"/>
      <c r="BS8" s="240"/>
      <c r="BT8" s="241"/>
      <c r="BU8" s="38"/>
      <c r="BV8" s="39"/>
    </row>
    <row r="9" spans="1:74" ht="23.1" customHeight="1" thickTop="1" thickBot="1">
      <c r="B9" s="243"/>
      <c r="C9" s="252"/>
      <c r="D9" s="247"/>
      <c r="E9" s="58" t="s">
        <v>28</v>
      </c>
      <c r="F9" s="59" t="s">
        <v>29</v>
      </c>
      <c r="G9" s="60" t="s">
        <v>30</v>
      </c>
      <c r="H9" s="245"/>
      <c r="I9" s="241"/>
      <c r="J9" s="250"/>
      <c r="K9" s="250"/>
      <c r="L9" s="264"/>
      <c r="M9" s="61" t="s">
        <v>31</v>
      </c>
      <c r="N9" s="62" t="s">
        <v>32</v>
      </c>
      <c r="O9" s="62" t="s">
        <v>33</v>
      </c>
      <c r="P9" s="62" t="s">
        <v>34</v>
      </c>
      <c r="Q9" s="62" t="s">
        <v>35</v>
      </c>
      <c r="R9" s="62" t="s">
        <v>31</v>
      </c>
      <c r="S9" s="62" t="s">
        <v>32</v>
      </c>
      <c r="T9" s="62" t="s">
        <v>33</v>
      </c>
      <c r="U9" s="62" t="s">
        <v>34</v>
      </c>
      <c r="V9" s="62" t="s">
        <v>35</v>
      </c>
      <c r="W9" s="62" t="s">
        <v>31</v>
      </c>
      <c r="X9" s="62" t="s">
        <v>32</v>
      </c>
      <c r="Y9" s="62" t="s">
        <v>33</v>
      </c>
      <c r="Z9" s="62" t="s">
        <v>34</v>
      </c>
      <c r="AA9" s="63" t="s">
        <v>35</v>
      </c>
      <c r="AB9" s="64" t="s">
        <v>31</v>
      </c>
      <c r="AC9" s="65" t="s">
        <v>32</v>
      </c>
      <c r="AD9" s="65" t="s">
        <v>33</v>
      </c>
      <c r="AE9" s="65" t="s">
        <v>34</v>
      </c>
      <c r="AF9" s="65" t="s">
        <v>35</v>
      </c>
      <c r="AG9" s="65" t="s">
        <v>31</v>
      </c>
      <c r="AH9" s="65" t="s">
        <v>32</v>
      </c>
      <c r="AI9" s="65" t="s">
        <v>33</v>
      </c>
      <c r="AJ9" s="65" t="s">
        <v>34</v>
      </c>
      <c r="AK9" s="65" t="s">
        <v>35</v>
      </c>
      <c r="AL9" s="65" t="s">
        <v>31</v>
      </c>
      <c r="AM9" s="65" t="s">
        <v>32</v>
      </c>
      <c r="AN9" s="65" t="s">
        <v>33</v>
      </c>
      <c r="AO9" s="65" t="s">
        <v>34</v>
      </c>
      <c r="AP9" s="66" t="s">
        <v>35</v>
      </c>
      <c r="AQ9" s="67" t="s">
        <v>31</v>
      </c>
      <c r="AR9" s="68" t="s">
        <v>32</v>
      </c>
      <c r="AS9" s="68" t="s">
        <v>33</v>
      </c>
      <c r="AT9" s="68" t="s">
        <v>34</v>
      </c>
      <c r="AU9" s="68" t="s">
        <v>35</v>
      </c>
      <c r="AV9" s="68" t="s">
        <v>31</v>
      </c>
      <c r="AW9" s="68" t="s">
        <v>32</v>
      </c>
      <c r="AX9" s="68" t="s">
        <v>33</v>
      </c>
      <c r="AY9" s="68" t="s">
        <v>34</v>
      </c>
      <c r="AZ9" s="68" t="s">
        <v>35</v>
      </c>
      <c r="BA9" s="68" t="s">
        <v>31</v>
      </c>
      <c r="BB9" s="68" t="s">
        <v>32</v>
      </c>
      <c r="BC9" s="68" t="s">
        <v>33</v>
      </c>
      <c r="BD9" s="68" t="s">
        <v>34</v>
      </c>
      <c r="BE9" s="69" t="s">
        <v>35</v>
      </c>
      <c r="BF9" s="70" t="s">
        <v>31</v>
      </c>
      <c r="BG9" s="71" t="s">
        <v>32</v>
      </c>
      <c r="BH9" s="71" t="s">
        <v>33</v>
      </c>
      <c r="BI9" s="71" t="s">
        <v>34</v>
      </c>
      <c r="BJ9" s="71" t="s">
        <v>35</v>
      </c>
      <c r="BK9" s="188"/>
      <c r="BL9" s="188"/>
      <c r="BM9" s="188"/>
      <c r="BN9" s="188"/>
      <c r="BO9" s="188"/>
      <c r="BP9" s="188"/>
      <c r="BQ9" s="188"/>
      <c r="BR9" s="188"/>
      <c r="BS9" s="188"/>
      <c r="BT9" s="189"/>
      <c r="BU9" s="38"/>
      <c r="BV9" s="39"/>
    </row>
    <row r="10" spans="1:74" ht="23.1" customHeight="1" thickTop="1">
      <c r="B10" s="202">
        <v>1</v>
      </c>
      <c r="C10" s="203" t="s">
        <v>157</v>
      </c>
      <c r="D10" s="204"/>
      <c r="E10" s="197">
        <f>SUM(E11:E14)</f>
        <v>12</v>
      </c>
      <c r="F10" s="198">
        <f>SUM(F11:F14)</f>
        <v>12</v>
      </c>
      <c r="G10" s="199">
        <f>SUM(G11:G14)</f>
        <v>0</v>
      </c>
      <c r="H10" s="205"/>
      <c r="I10" s="206">
        <v>45920</v>
      </c>
      <c r="J10" s="206">
        <v>45926</v>
      </c>
      <c r="K10" s="207">
        <f>J10-I10+1</f>
        <v>7</v>
      </c>
      <c r="L10" s="201">
        <f t="shared" ref="L10:L39" si="0">IFERROR(F10/E10,"")</f>
        <v>1</v>
      </c>
      <c r="M10" s="73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5"/>
      <c r="AB10" s="73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5"/>
      <c r="AQ10" s="73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5"/>
      <c r="BF10" s="73"/>
      <c r="BG10" s="74"/>
      <c r="BH10" s="74"/>
      <c r="BI10" s="74"/>
      <c r="BJ10" s="74"/>
      <c r="BK10" s="78"/>
      <c r="BL10" s="78"/>
      <c r="BM10" s="78"/>
      <c r="BN10" s="78"/>
      <c r="BO10" s="78"/>
      <c r="BP10" s="78"/>
      <c r="BQ10" s="78"/>
      <c r="BR10" s="78"/>
      <c r="BS10" s="78"/>
      <c r="BT10" s="81"/>
      <c r="BU10" s="38"/>
      <c r="BV10" s="39"/>
    </row>
    <row r="11" spans="1:74" ht="23.1" customHeight="1">
      <c r="B11" s="150" t="s">
        <v>88</v>
      </c>
      <c r="C11" t="s">
        <v>163</v>
      </c>
      <c r="D11" s="152" t="s">
        <v>119</v>
      </c>
      <c r="E11" s="153">
        <v>6</v>
      </c>
      <c r="F11" s="154">
        <v>6</v>
      </c>
      <c r="G11" s="155">
        <f>E11-F11</f>
        <v>0</v>
      </c>
      <c r="H11" s="156"/>
      <c r="I11" s="211"/>
      <c r="J11" s="211"/>
      <c r="K11" s="213"/>
      <c r="L11" s="201">
        <f t="shared" si="0"/>
        <v>1</v>
      </c>
      <c r="M11" s="77"/>
      <c r="N11" s="78"/>
      <c r="O11" s="78"/>
      <c r="P11" s="78"/>
      <c r="Q11" s="79"/>
      <c r="R11" s="79"/>
      <c r="S11" s="79"/>
      <c r="T11" s="79"/>
      <c r="U11" s="80"/>
      <c r="V11" s="80"/>
      <c r="W11" s="78"/>
      <c r="X11" s="78"/>
      <c r="Y11" s="78"/>
      <c r="Z11" s="78"/>
      <c r="AA11" s="81"/>
      <c r="AB11" s="77"/>
      <c r="AC11" s="78"/>
      <c r="AD11" s="78"/>
      <c r="AE11" s="78"/>
      <c r="AF11" s="78"/>
      <c r="AG11" s="82"/>
      <c r="AH11" s="82"/>
      <c r="AI11" s="82"/>
      <c r="AJ11" s="82"/>
      <c r="AK11" s="82"/>
      <c r="AL11" s="78"/>
      <c r="AM11" s="78"/>
      <c r="AN11" s="78"/>
      <c r="AO11" s="78"/>
      <c r="AP11" s="81"/>
      <c r="AQ11" s="77"/>
      <c r="AR11" s="78"/>
      <c r="AS11" s="78"/>
      <c r="AT11" s="78"/>
      <c r="AU11" s="78"/>
      <c r="AV11" s="83"/>
      <c r="AW11" s="83"/>
      <c r="AX11" s="83"/>
      <c r="AY11" s="83"/>
      <c r="AZ11" s="83"/>
      <c r="BA11" s="78"/>
      <c r="BB11" s="78"/>
      <c r="BC11" s="78"/>
      <c r="BD11" s="78"/>
      <c r="BE11" s="81"/>
      <c r="BF11" s="77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81"/>
      <c r="BU11" s="38"/>
      <c r="BV11" s="39"/>
    </row>
    <row r="12" spans="1:74" ht="23.1" customHeight="1">
      <c r="B12" s="150" t="s">
        <v>89</v>
      </c>
      <c r="C12" t="s">
        <v>164</v>
      </c>
      <c r="D12" s="152" t="s">
        <v>119</v>
      </c>
      <c r="E12" s="153">
        <v>2</v>
      </c>
      <c r="F12" s="154">
        <v>2</v>
      </c>
      <c r="G12" s="155">
        <f>E12-F12</f>
        <v>0</v>
      </c>
      <c r="H12" s="163"/>
      <c r="I12" s="211"/>
      <c r="J12" s="211"/>
      <c r="K12" s="213"/>
      <c r="L12" s="201">
        <f t="shared" si="0"/>
        <v>1</v>
      </c>
      <c r="M12" s="77"/>
      <c r="N12" s="78"/>
      <c r="O12" s="78"/>
      <c r="P12" s="78"/>
      <c r="Q12" s="78"/>
      <c r="R12" s="80"/>
      <c r="S12" s="80"/>
      <c r="T12" s="79"/>
      <c r="U12" s="79"/>
      <c r="V12" s="80"/>
      <c r="W12" s="78"/>
      <c r="X12" s="78"/>
      <c r="Y12" s="78"/>
      <c r="Z12" s="78"/>
      <c r="AA12" s="81"/>
      <c r="AB12" s="77"/>
      <c r="AC12" s="78"/>
      <c r="AD12" s="78"/>
      <c r="AE12" s="78"/>
      <c r="AF12" s="78"/>
      <c r="AG12" s="82"/>
      <c r="AH12" s="82"/>
      <c r="AI12" s="82"/>
      <c r="AJ12" s="82"/>
      <c r="AK12" s="82"/>
      <c r="AL12" s="78"/>
      <c r="AM12" s="78"/>
      <c r="AN12" s="78"/>
      <c r="AO12" s="78"/>
      <c r="AP12" s="81"/>
      <c r="AQ12" s="77"/>
      <c r="AR12" s="78"/>
      <c r="AS12" s="78"/>
      <c r="AT12" s="78"/>
      <c r="AU12" s="78"/>
      <c r="AV12" s="83"/>
      <c r="AW12" s="83"/>
      <c r="AX12" s="83"/>
      <c r="AY12" s="83"/>
      <c r="AZ12" s="83"/>
      <c r="BA12" s="78"/>
      <c r="BB12" s="78"/>
      <c r="BC12" s="78"/>
      <c r="BD12" s="78"/>
      <c r="BE12" s="81"/>
      <c r="BF12" s="77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81"/>
      <c r="BU12" s="38"/>
      <c r="BV12" s="39"/>
    </row>
    <row r="13" spans="1:74" ht="23.1" customHeight="1">
      <c r="B13" s="150" t="s">
        <v>90</v>
      </c>
      <c r="C13" t="s">
        <v>165</v>
      </c>
      <c r="D13" s="152" t="s">
        <v>119</v>
      </c>
      <c r="E13" s="153">
        <v>2</v>
      </c>
      <c r="F13" s="154">
        <v>2</v>
      </c>
      <c r="G13" s="155">
        <f>E13-F13</f>
        <v>0</v>
      </c>
      <c r="H13" s="156"/>
      <c r="I13" s="211"/>
      <c r="J13" s="211"/>
      <c r="K13" s="213"/>
      <c r="L13" s="201">
        <f t="shared" si="0"/>
        <v>1</v>
      </c>
      <c r="M13" s="77"/>
      <c r="N13" s="78"/>
      <c r="O13" s="78"/>
      <c r="P13" s="78"/>
      <c r="Q13" s="78"/>
      <c r="R13" s="80"/>
      <c r="S13" s="80"/>
      <c r="T13" s="79"/>
      <c r="U13" s="79"/>
      <c r="V13" s="79"/>
      <c r="W13" s="79"/>
      <c r="X13" s="79"/>
      <c r="Y13" s="79"/>
      <c r="Z13" s="79"/>
      <c r="AA13" s="81"/>
      <c r="AB13" s="77"/>
      <c r="AC13" s="78"/>
      <c r="AD13" s="78"/>
      <c r="AE13" s="78"/>
      <c r="AF13" s="78"/>
      <c r="AG13" s="82"/>
      <c r="AH13" s="82"/>
      <c r="AI13" s="82"/>
      <c r="AJ13" s="82"/>
      <c r="AK13" s="82"/>
      <c r="AL13" s="78"/>
      <c r="AM13" s="78"/>
      <c r="AN13" s="78"/>
      <c r="AO13" s="78"/>
      <c r="AP13" s="81"/>
      <c r="AQ13" s="77"/>
      <c r="AR13" s="78"/>
      <c r="AS13" s="78"/>
      <c r="AT13" s="78"/>
      <c r="AU13" s="78"/>
      <c r="AV13" s="83"/>
      <c r="AW13" s="83"/>
      <c r="AX13" s="83"/>
      <c r="AY13" s="83"/>
      <c r="AZ13" s="83"/>
      <c r="BA13" s="78"/>
      <c r="BB13" s="78"/>
      <c r="BC13" s="78"/>
      <c r="BD13" s="78"/>
      <c r="BE13" s="81"/>
      <c r="BF13" s="77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81"/>
      <c r="BU13" s="38"/>
      <c r="BV13" s="39"/>
    </row>
    <row r="14" spans="1:74" ht="23.1" customHeight="1">
      <c r="B14" s="150" t="s">
        <v>91</v>
      </c>
      <c r="C14" t="s">
        <v>166</v>
      </c>
      <c r="D14" s="152" t="s">
        <v>119</v>
      </c>
      <c r="E14" s="153">
        <v>2</v>
      </c>
      <c r="F14" s="154">
        <v>2</v>
      </c>
      <c r="G14" s="155">
        <f>E14-F14</f>
        <v>0</v>
      </c>
      <c r="H14" s="156"/>
      <c r="I14" s="211"/>
      <c r="J14" s="211"/>
      <c r="K14" s="213"/>
      <c r="L14" s="201">
        <f t="shared" si="0"/>
        <v>1</v>
      </c>
      <c r="M14" s="77"/>
      <c r="N14" s="78"/>
      <c r="O14" s="78"/>
      <c r="P14" s="78"/>
      <c r="Q14" s="78"/>
      <c r="R14" s="80"/>
      <c r="S14" s="80"/>
      <c r="T14" s="80"/>
      <c r="U14" s="79"/>
      <c r="V14" s="79"/>
      <c r="W14" s="79"/>
      <c r="X14" s="79"/>
      <c r="Y14" s="79"/>
      <c r="Z14" s="79"/>
      <c r="AA14" s="81"/>
      <c r="AB14" s="77"/>
      <c r="AC14" s="78"/>
      <c r="AD14" s="78"/>
      <c r="AE14" s="78"/>
      <c r="AF14" s="78"/>
      <c r="AG14" s="82"/>
      <c r="AH14" s="82"/>
      <c r="AI14" s="82"/>
      <c r="AJ14" s="82"/>
      <c r="AK14" s="82"/>
      <c r="AL14" s="78"/>
      <c r="AM14" s="78"/>
      <c r="AN14" s="78"/>
      <c r="AO14" s="78"/>
      <c r="AP14" s="81"/>
      <c r="AQ14" s="77"/>
      <c r="AR14" s="78"/>
      <c r="AS14" s="78"/>
      <c r="AT14" s="78"/>
      <c r="AU14" s="78"/>
      <c r="AV14" s="83"/>
      <c r="AW14" s="83"/>
      <c r="AX14" s="83"/>
      <c r="AY14" s="83"/>
      <c r="AZ14" s="83"/>
      <c r="BA14" s="78"/>
      <c r="BB14" s="78"/>
      <c r="BC14" s="78"/>
      <c r="BD14" s="78"/>
      <c r="BE14" s="81"/>
      <c r="BF14" s="77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81"/>
      <c r="BU14" s="38"/>
      <c r="BV14" s="39"/>
    </row>
    <row r="15" spans="1:74" ht="23.1" customHeight="1">
      <c r="B15" s="194" t="s">
        <v>92</v>
      </c>
      <c r="C15" s="195" t="s">
        <v>158</v>
      </c>
      <c r="D15" s="196"/>
      <c r="E15" s="197">
        <f>SUM(E16:E19)</f>
        <v>16</v>
      </c>
      <c r="F15" s="198">
        <f>SUM(F16:F19)</f>
        <v>16</v>
      </c>
      <c r="G15" s="199">
        <f>SUM(G16:G19)</f>
        <v>0</v>
      </c>
      <c r="H15" s="200"/>
      <c r="I15" s="206">
        <v>45920</v>
      </c>
      <c r="J15" s="206">
        <v>45926</v>
      </c>
      <c r="K15" s="207">
        <f>J15-I15+1</f>
        <v>7</v>
      </c>
      <c r="L15" s="201">
        <f t="shared" si="0"/>
        <v>1</v>
      </c>
      <c r="M15" s="73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5"/>
      <c r="AB15" s="73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5"/>
      <c r="AQ15" s="73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5"/>
      <c r="BF15" s="73"/>
      <c r="BG15" s="74"/>
      <c r="BH15" s="74"/>
      <c r="BI15" s="74"/>
      <c r="BJ15" s="74"/>
      <c r="BK15" s="78"/>
      <c r="BL15" s="78"/>
      <c r="BM15" s="78"/>
      <c r="BN15" s="78"/>
      <c r="BO15" s="78"/>
      <c r="BP15" s="78"/>
      <c r="BQ15" s="78"/>
      <c r="BR15" s="78"/>
      <c r="BS15" s="78"/>
      <c r="BT15" s="81"/>
      <c r="BU15" s="38"/>
      <c r="BV15" s="39"/>
    </row>
    <row r="16" spans="1:74" ht="23.1" customHeight="1">
      <c r="B16" s="150">
        <v>2.1</v>
      </c>
      <c r="C16" t="s">
        <v>167</v>
      </c>
      <c r="D16" s="152" t="s">
        <v>119</v>
      </c>
      <c r="E16" s="153">
        <v>7</v>
      </c>
      <c r="F16" s="154">
        <v>7</v>
      </c>
      <c r="G16" s="155">
        <f>E16-F16</f>
        <v>0</v>
      </c>
      <c r="H16" s="156"/>
      <c r="I16" s="187"/>
      <c r="J16" s="187"/>
      <c r="K16" s="213"/>
      <c r="L16" s="201">
        <f t="shared" si="0"/>
        <v>1</v>
      </c>
      <c r="M16" s="77"/>
      <c r="N16" s="78"/>
      <c r="O16" s="78"/>
      <c r="P16" s="78"/>
      <c r="Q16" s="78"/>
      <c r="R16" s="80"/>
      <c r="S16" s="80"/>
      <c r="T16" s="80"/>
      <c r="U16" s="80"/>
      <c r="V16" s="80"/>
      <c r="W16" s="78"/>
      <c r="X16" s="78"/>
      <c r="Y16" s="78"/>
      <c r="Z16" s="78"/>
      <c r="AA16" s="81"/>
      <c r="AB16" s="84"/>
      <c r="AC16" s="85"/>
      <c r="AD16" s="85"/>
      <c r="AE16" s="85"/>
      <c r="AF16" s="85"/>
      <c r="AG16" s="82"/>
      <c r="AH16" s="82"/>
      <c r="AI16" s="82"/>
      <c r="AJ16" s="82"/>
      <c r="AK16" s="82"/>
      <c r="AL16" s="78"/>
      <c r="AM16" s="78"/>
      <c r="AN16" s="78"/>
      <c r="AO16" s="78"/>
      <c r="AP16" s="81"/>
      <c r="AQ16" s="77"/>
      <c r="AR16" s="78"/>
      <c r="AS16" s="78"/>
      <c r="AT16" s="78"/>
      <c r="AU16" s="78"/>
      <c r="AV16" s="83"/>
      <c r="AW16" s="83"/>
      <c r="AX16" s="83"/>
      <c r="AY16" s="83"/>
      <c r="AZ16" s="83"/>
      <c r="BA16" s="78"/>
      <c r="BB16" s="78"/>
      <c r="BC16" s="78"/>
      <c r="BD16" s="78"/>
      <c r="BE16" s="81"/>
      <c r="BF16" s="77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81"/>
      <c r="BU16" s="38"/>
      <c r="BV16" s="39"/>
    </row>
    <row r="17" spans="2:74" ht="23.1" customHeight="1">
      <c r="B17" s="150">
        <v>2.2000000000000002</v>
      </c>
      <c r="C17" t="s">
        <v>168</v>
      </c>
      <c r="D17" s="152" t="s">
        <v>119</v>
      </c>
      <c r="E17" s="153">
        <v>3</v>
      </c>
      <c r="F17" s="154">
        <v>3</v>
      </c>
      <c r="G17" s="155">
        <f>E17-F17</f>
        <v>0</v>
      </c>
      <c r="H17" s="156"/>
      <c r="I17" s="187"/>
      <c r="J17" s="187"/>
      <c r="K17" s="213"/>
      <c r="L17" s="201">
        <f t="shared" si="0"/>
        <v>1</v>
      </c>
      <c r="M17" s="77"/>
      <c r="N17" s="78"/>
      <c r="O17" s="78"/>
      <c r="P17" s="78"/>
      <c r="Q17" s="78"/>
      <c r="R17" s="80"/>
      <c r="S17" s="80"/>
      <c r="T17" s="80"/>
      <c r="U17" s="80"/>
      <c r="V17" s="80"/>
      <c r="W17" s="78"/>
      <c r="X17" s="78"/>
      <c r="Y17" s="78"/>
      <c r="Z17" s="78"/>
      <c r="AA17" s="81"/>
      <c r="AB17" s="77"/>
      <c r="AC17" s="78"/>
      <c r="AD17" s="78"/>
      <c r="AE17" s="78"/>
      <c r="AF17" s="78"/>
      <c r="AG17" s="85"/>
      <c r="AH17" s="85"/>
      <c r="AI17" s="85"/>
      <c r="AJ17" s="85"/>
      <c r="AK17" s="85"/>
      <c r="AL17" s="78"/>
      <c r="AM17" s="78"/>
      <c r="AN17" s="78"/>
      <c r="AO17" s="78"/>
      <c r="AP17" s="81"/>
      <c r="AQ17" s="77"/>
      <c r="AR17" s="78"/>
      <c r="AS17" s="78"/>
      <c r="AT17" s="78"/>
      <c r="AU17" s="78"/>
      <c r="AV17" s="83"/>
      <c r="AW17" s="83"/>
      <c r="AX17" s="83"/>
      <c r="AY17" s="83"/>
      <c r="AZ17" s="83"/>
      <c r="BA17" s="78"/>
      <c r="BB17" s="78"/>
      <c r="BC17" s="78"/>
      <c r="BD17" s="78"/>
      <c r="BE17" s="81"/>
      <c r="BF17" s="77"/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81"/>
      <c r="BU17" s="38"/>
      <c r="BV17" s="39"/>
    </row>
    <row r="18" spans="2:74" ht="23.1" customHeight="1">
      <c r="B18" s="150">
        <v>2.2999999999999998</v>
      </c>
      <c r="C18" t="s">
        <v>169</v>
      </c>
      <c r="D18" s="152" t="s">
        <v>119</v>
      </c>
      <c r="E18" s="153">
        <v>3</v>
      </c>
      <c r="F18" s="154">
        <v>3</v>
      </c>
      <c r="G18" s="155">
        <f>E18-F18</f>
        <v>0</v>
      </c>
      <c r="H18" s="156"/>
      <c r="I18" s="187"/>
      <c r="J18" s="187"/>
      <c r="K18" s="213"/>
      <c r="L18" s="201">
        <f t="shared" si="0"/>
        <v>1</v>
      </c>
      <c r="M18" s="77"/>
      <c r="N18" s="78"/>
      <c r="O18" s="78"/>
      <c r="P18" s="78"/>
      <c r="Q18" s="78"/>
      <c r="R18" s="80"/>
      <c r="S18" s="80"/>
      <c r="T18" s="80"/>
      <c r="U18" s="80"/>
      <c r="V18" s="80"/>
      <c r="W18" s="78"/>
      <c r="X18" s="78"/>
      <c r="Y18" s="78"/>
      <c r="Z18" s="78"/>
      <c r="AA18" s="81"/>
      <c r="AB18" s="77"/>
      <c r="AC18" s="78"/>
      <c r="AD18" s="78"/>
      <c r="AE18" s="78"/>
      <c r="AF18" s="78"/>
      <c r="AG18" s="82"/>
      <c r="AH18" s="82"/>
      <c r="AI18" s="82"/>
      <c r="AJ18" s="82"/>
      <c r="AK18" s="82"/>
      <c r="AL18" s="78"/>
      <c r="AM18" s="78"/>
      <c r="AN18" s="78"/>
      <c r="AO18" s="78"/>
      <c r="AP18" s="81"/>
      <c r="AQ18" s="77"/>
      <c r="AR18" s="78"/>
      <c r="AS18" s="78"/>
      <c r="AT18" s="78"/>
      <c r="AU18" s="78"/>
      <c r="AV18" s="83"/>
      <c r="AW18" s="83"/>
      <c r="AX18" s="83"/>
      <c r="AY18" s="83"/>
      <c r="AZ18" s="83"/>
      <c r="BA18" s="78"/>
      <c r="BB18" s="78"/>
      <c r="BC18" s="78"/>
      <c r="BD18" s="78"/>
      <c r="BE18" s="81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81"/>
      <c r="BU18" s="38"/>
      <c r="BV18" s="39"/>
    </row>
    <row r="19" spans="2:74" ht="23.1" customHeight="1">
      <c r="B19" s="150">
        <v>2.4</v>
      </c>
      <c r="C19" t="s">
        <v>170</v>
      </c>
      <c r="D19" s="152" t="s">
        <v>119</v>
      </c>
      <c r="E19" s="153">
        <v>3</v>
      </c>
      <c r="F19" s="154">
        <v>3</v>
      </c>
      <c r="G19" s="155">
        <f>E19-F19</f>
        <v>0</v>
      </c>
      <c r="H19" s="156"/>
      <c r="I19" s="187"/>
      <c r="J19" s="187"/>
      <c r="K19" s="213"/>
      <c r="L19" s="201">
        <f t="shared" si="0"/>
        <v>1</v>
      </c>
      <c r="M19" s="77"/>
      <c r="N19" s="78"/>
      <c r="O19" s="78"/>
      <c r="P19" s="78"/>
      <c r="Q19" s="78"/>
      <c r="R19" s="80"/>
      <c r="S19" s="80"/>
      <c r="T19" s="80"/>
      <c r="U19" s="80"/>
      <c r="V19" s="80"/>
      <c r="W19" s="78"/>
      <c r="X19" s="78"/>
      <c r="Y19" s="78"/>
      <c r="Z19" s="78"/>
      <c r="AA19" s="81"/>
      <c r="AB19" s="77"/>
      <c r="AC19" s="78"/>
      <c r="AD19" s="78"/>
      <c r="AE19" s="78"/>
      <c r="AF19" s="78"/>
      <c r="AG19" s="82"/>
      <c r="AH19" s="82"/>
      <c r="AI19" s="82"/>
      <c r="AJ19" s="82"/>
      <c r="AK19" s="82"/>
      <c r="AL19" s="78"/>
      <c r="AM19" s="78"/>
      <c r="AN19" s="78"/>
      <c r="AO19" s="78"/>
      <c r="AP19" s="81"/>
      <c r="AQ19" s="77"/>
      <c r="AR19" s="78"/>
      <c r="AS19" s="78"/>
      <c r="AT19" s="78"/>
      <c r="AU19" s="78"/>
      <c r="AV19" s="83"/>
      <c r="AW19" s="83"/>
      <c r="AX19" s="83"/>
      <c r="AY19" s="83"/>
      <c r="AZ19" s="83"/>
      <c r="BA19" s="78"/>
      <c r="BB19" s="78"/>
      <c r="BC19" s="78"/>
      <c r="BD19" s="78"/>
      <c r="BE19" s="81"/>
      <c r="BF19" s="77"/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81"/>
      <c r="BU19" s="38"/>
      <c r="BV19" s="39"/>
    </row>
    <row r="20" spans="2:74" ht="23.1" customHeight="1">
      <c r="B20" s="194">
        <v>3</v>
      </c>
      <c r="C20" s="195" t="s">
        <v>159</v>
      </c>
      <c r="D20" s="196"/>
      <c r="E20" s="197">
        <f>SUM(E21:E24)</f>
        <v>12</v>
      </c>
      <c r="F20" s="198">
        <f>SUM(F21:F24)</f>
        <v>12</v>
      </c>
      <c r="G20" s="199">
        <f>SUM(G21:G24)</f>
        <v>0</v>
      </c>
      <c r="H20" s="200"/>
      <c r="I20" s="206">
        <v>45920</v>
      </c>
      <c r="J20" s="206">
        <v>45926</v>
      </c>
      <c r="K20" s="207">
        <f>J20-I20+1</f>
        <v>7</v>
      </c>
      <c r="L20" s="201">
        <f t="shared" si="0"/>
        <v>1</v>
      </c>
      <c r="M20" s="73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5"/>
      <c r="AB20" s="73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5"/>
      <c r="AQ20" s="73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5"/>
      <c r="BF20" s="73"/>
      <c r="BG20" s="74"/>
      <c r="BH20" s="74"/>
      <c r="BI20" s="74"/>
      <c r="BJ20" s="74"/>
      <c r="BK20" s="78"/>
      <c r="BL20" s="78"/>
      <c r="BM20" s="78"/>
      <c r="BN20" s="78"/>
      <c r="BO20" s="78"/>
      <c r="BP20" s="78"/>
      <c r="BQ20" s="78"/>
      <c r="BR20" s="78"/>
      <c r="BS20" s="78"/>
      <c r="BT20" s="81"/>
      <c r="BU20" s="38"/>
      <c r="BV20" s="39"/>
    </row>
    <row r="21" spans="2:74" ht="23.1" customHeight="1">
      <c r="B21" s="150">
        <v>3.1</v>
      </c>
      <c r="C21" t="s">
        <v>171</v>
      </c>
      <c r="D21" s="152" t="s">
        <v>119</v>
      </c>
      <c r="E21" s="153">
        <v>5</v>
      </c>
      <c r="F21" s="154">
        <v>5</v>
      </c>
      <c r="G21" s="155">
        <f>E21-F21</f>
        <v>0</v>
      </c>
      <c r="H21" s="156"/>
      <c r="I21" s="157"/>
      <c r="J21" s="158"/>
      <c r="K21" s="213"/>
      <c r="L21" s="201">
        <f>IFERROR(F21/E21,"")</f>
        <v>1</v>
      </c>
      <c r="M21" s="77"/>
      <c r="N21" s="78"/>
      <c r="O21" s="78"/>
      <c r="P21" s="78"/>
      <c r="Q21" s="78"/>
      <c r="R21" s="80"/>
      <c r="S21" s="80"/>
      <c r="T21" s="80"/>
      <c r="U21" s="80"/>
      <c r="V21" s="80"/>
      <c r="W21" s="78"/>
      <c r="X21" s="78"/>
      <c r="Y21" s="78"/>
      <c r="Z21" s="78"/>
      <c r="AA21" s="81"/>
      <c r="AB21" s="77"/>
      <c r="AC21" s="78"/>
      <c r="AD21" s="78"/>
      <c r="AE21" s="78"/>
      <c r="AF21" s="78"/>
      <c r="AG21" s="82"/>
      <c r="AH21" s="82"/>
      <c r="AI21" s="82"/>
      <c r="AJ21" s="82"/>
      <c r="AK21" s="82"/>
      <c r="AL21" s="78"/>
      <c r="AM21" s="78"/>
      <c r="AN21" s="78"/>
      <c r="AO21" s="78"/>
      <c r="AP21" s="81"/>
      <c r="AQ21" s="77"/>
      <c r="AR21" s="78"/>
      <c r="AS21" s="78"/>
      <c r="AT21" s="78"/>
      <c r="AU21" s="78"/>
      <c r="AV21" s="83"/>
      <c r="AW21" s="83"/>
      <c r="AX21" s="83"/>
      <c r="AY21" s="83"/>
      <c r="AZ21" s="83"/>
      <c r="BA21" s="78"/>
      <c r="BB21" s="78"/>
      <c r="BC21" s="78"/>
      <c r="BD21" s="78"/>
      <c r="BE21" s="81"/>
      <c r="BF21" s="77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81"/>
      <c r="BU21" s="38"/>
      <c r="BV21" s="39"/>
    </row>
    <row r="22" spans="2:74" ht="23.1" customHeight="1">
      <c r="B22" s="150">
        <v>3.2</v>
      </c>
      <c r="C22" t="s">
        <v>172</v>
      </c>
      <c r="D22" s="152" t="s">
        <v>119</v>
      </c>
      <c r="E22" s="153">
        <v>2</v>
      </c>
      <c r="F22" s="154">
        <v>2</v>
      </c>
      <c r="G22" s="155">
        <f>E22-F22</f>
        <v>0</v>
      </c>
      <c r="H22" s="156"/>
      <c r="I22" s="157"/>
      <c r="J22" s="158"/>
      <c r="K22" s="213"/>
      <c r="L22" s="201">
        <f>IFERROR(F22/E22,"")</f>
        <v>1</v>
      </c>
      <c r="M22" s="77"/>
      <c r="N22" s="78"/>
      <c r="O22" s="78"/>
      <c r="P22" s="78"/>
      <c r="Q22" s="78"/>
      <c r="R22" s="80"/>
      <c r="S22" s="80"/>
      <c r="T22" s="80"/>
      <c r="U22" s="80"/>
      <c r="V22" s="80"/>
      <c r="W22" s="78"/>
      <c r="X22" s="78"/>
      <c r="Y22" s="78"/>
      <c r="Z22" s="78"/>
      <c r="AA22" s="81"/>
      <c r="AB22" s="77"/>
      <c r="AC22" s="78"/>
      <c r="AD22" s="78"/>
      <c r="AE22" s="78"/>
      <c r="AF22" s="78"/>
      <c r="AG22" s="82"/>
      <c r="AH22" s="82"/>
      <c r="AI22" s="82"/>
      <c r="AJ22" s="82"/>
      <c r="AK22" s="82"/>
      <c r="AL22" s="78"/>
      <c r="AM22" s="78"/>
      <c r="AN22" s="78"/>
      <c r="AO22" s="78"/>
      <c r="AP22" s="81"/>
      <c r="AQ22" s="77"/>
      <c r="AR22" s="78"/>
      <c r="AS22" s="78"/>
      <c r="AT22" s="78"/>
      <c r="AU22" s="78"/>
      <c r="AV22" s="83"/>
      <c r="AW22" s="83"/>
      <c r="AX22" s="83"/>
      <c r="AY22" s="83"/>
      <c r="AZ22" s="83"/>
      <c r="BA22" s="78"/>
      <c r="BB22" s="78"/>
      <c r="BC22" s="78"/>
      <c r="BD22" s="78"/>
      <c r="BE22" s="81"/>
      <c r="BF22" s="77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81"/>
      <c r="BU22" s="38"/>
      <c r="BV22" s="39"/>
    </row>
    <row r="23" spans="2:74" ht="23.1" customHeight="1">
      <c r="B23" s="150" t="s">
        <v>37</v>
      </c>
      <c r="C23" t="s">
        <v>173</v>
      </c>
      <c r="D23" s="152" t="s">
        <v>119</v>
      </c>
      <c r="E23" s="153">
        <v>4</v>
      </c>
      <c r="F23" s="154">
        <v>4</v>
      </c>
      <c r="G23" s="155">
        <f>E23-F23</f>
        <v>0</v>
      </c>
      <c r="H23" s="163"/>
      <c r="I23" s="157"/>
      <c r="J23" s="158"/>
      <c r="K23" s="213"/>
      <c r="L23" s="201">
        <f>IFERROR(F23/E23,"")</f>
        <v>1</v>
      </c>
      <c r="M23" s="77"/>
      <c r="N23" s="78"/>
      <c r="O23" s="78"/>
      <c r="P23" s="78"/>
      <c r="Q23" s="78"/>
      <c r="R23" s="80"/>
      <c r="S23" s="80"/>
      <c r="T23" s="80"/>
      <c r="U23" s="80"/>
      <c r="V23" s="80"/>
      <c r="W23" s="78"/>
      <c r="X23" s="78"/>
      <c r="Y23" s="78"/>
      <c r="Z23" s="78"/>
      <c r="AA23" s="81"/>
      <c r="AB23" s="77"/>
      <c r="AC23" s="78"/>
      <c r="AD23" s="78"/>
      <c r="AE23" s="78"/>
      <c r="AF23" s="78"/>
      <c r="AG23" s="82"/>
      <c r="AH23" s="82"/>
      <c r="AI23" s="82"/>
      <c r="AJ23" s="82"/>
      <c r="AK23" s="82"/>
      <c r="AL23" s="78"/>
      <c r="AM23" s="78"/>
      <c r="AN23" s="78"/>
      <c r="AO23" s="78"/>
      <c r="AP23" s="81"/>
      <c r="AQ23" s="77"/>
      <c r="AR23" s="78"/>
      <c r="AS23" s="78"/>
      <c r="AT23" s="78"/>
      <c r="AU23" s="78"/>
      <c r="AV23" s="83"/>
      <c r="AW23" s="83"/>
      <c r="AX23" s="83"/>
      <c r="AY23" s="83"/>
      <c r="AZ23" s="83"/>
      <c r="BA23" s="78"/>
      <c r="BB23" s="78"/>
      <c r="BC23" s="78"/>
      <c r="BD23" s="78"/>
      <c r="BE23" s="81"/>
      <c r="BF23" s="77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81"/>
      <c r="BU23" s="38"/>
      <c r="BV23" s="39"/>
    </row>
    <row r="24" spans="2:74" ht="23.1" customHeight="1">
      <c r="B24" s="150" t="s">
        <v>38</v>
      </c>
      <c r="C24" t="s">
        <v>174</v>
      </c>
      <c r="D24" s="152" t="s">
        <v>119</v>
      </c>
      <c r="E24" s="153">
        <v>1</v>
      </c>
      <c r="F24" s="154">
        <v>1</v>
      </c>
      <c r="G24" s="155">
        <f>E24-F24</f>
        <v>0</v>
      </c>
      <c r="H24" s="163"/>
      <c r="I24" s="157"/>
      <c r="J24" s="158"/>
      <c r="K24" s="213"/>
      <c r="L24" s="201">
        <f>IFERROR(F24/E24,"")</f>
        <v>1</v>
      </c>
      <c r="M24" s="77"/>
      <c r="N24" s="78"/>
      <c r="O24" s="78"/>
      <c r="P24" s="78"/>
      <c r="Q24" s="78"/>
      <c r="R24" s="80"/>
      <c r="S24" s="80"/>
      <c r="T24" s="80"/>
      <c r="U24" s="80"/>
      <c r="V24" s="80"/>
      <c r="W24" s="78"/>
      <c r="X24" s="78"/>
      <c r="Y24" s="78"/>
      <c r="Z24" s="78"/>
      <c r="AA24" s="81"/>
      <c r="AB24" s="77"/>
      <c r="AC24" s="78"/>
      <c r="AD24" s="78"/>
      <c r="AE24" s="78"/>
      <c r="AF24" s="78"/>
      <c r="AG24" s="82"/>
      <c r="AH24" s="82"/>
      <c r="AI24" s="82"/>
      <c r="AJ24" s="82"/>
      <c r="AK24" s="82"/>
      <c r="AL24" s="78"/>
      <c r="AM24" s="78"/>
      <c r="AN24" s="78"/>
      <c r="AO24" s="78"/>
      <c r="AP24" s="81"/>
      <c r="AQ24" s="77"/>
      <c r="AR24" s="78"/>
      <c r="AS24" s="78"/>
      <c r="AT24" s="78"/>
      <c r="AU24" s="78"/>
      <c r="AV24" s="83"/>
      <c r="AW24" s="83"/>
      <c r="AX24" s="83"/>
      <c r="AY24" s="83"/>
      <c r="AZ24" s="83"/>
      <c r="BA24" s="78"/>
      <c r="BB24" s="78"/>
      <c r="BC24" s="78"/>
      <c r="BD24" s="78"/>
      <c r="BE24" s="81"/>
      <c r="BF24" s="77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81"/>
      <c r="BU24" s="38"/>
      <c r="BV24" s="39"/>
    </row>
    <row r="25" spans="2:74" ht="23.1" customHeight="1">
      <c r="B25" s="194" t="s">
        <v>73</v>
      </c>
      <c r="C25" s="195" t="s">
        <v>160</v>
      </c>
      <c r="D25" s="196"/>
      <c r="E25" s="197">
        <f>SUM(E26:E29)</f>
        <v>4</v>
      </c>
      <c r="F25" s="198">
        <f>SUM(F26:F29)</f>
        <v>4</v>
      </c>
      <c r="G25" s="199">
        <f>SUM(G26:G29)</f>
        <v>0</v>
      </c>
      <c r="H25" s="200"/>
      <c r="I25" s="206">
        <v>45920</v>
      </c>
      <c r="J25" s="206">
        <v>45926</v>
      </c>
      <c r="K25" s="207">
        <f>J25-I25+1</f>
        <v>7</v>
      </c>
      <c r="L25" s="201">
        <f t="shared" si="0"/>
        <v>1</v>
      </c>
      <c r="M25" s="73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5"/>
      <c r="AB25" s="73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5"/>
      <c r="AQ25" s="73"/>
      <c r="AR25" s="74"/>
      <c r="AS25" s="74"/>
      <c r="AT25" s="74"/>
      <c r="AU25" s="74"/>
      <c r="AV25" s="74"/>
      <c r="AW25" s="74"/>
      <c r="AX25" s="74"/>
      <c r="AY25" s="74"/>
      <c r="AZ25" s="74"/>
      <c r="BA25" s="74"/>
      <c r="BB25" s="74"/>
      <c r="BC25" s="74"/>
      <c r="BD25" s="74"/>
      <c r="BE25" s="75"/>
      <c r="BF25" s="73"/>
      <c r="BG25" s="74"/>
      <c r="BH25" s="74"/>
      <c r="BI25" s="74"/>
      <c r="BJ25" s="74"/>
      <c r="BK25" s="78"/>
      <c r="BL25" s="78"/>
      <c r="BM25" s="78"/>
      <c r="BN25" s="78"/>
      <c r="BO25" s="78"/>
      <c r="BP25" s="78"/>
      <c r="BQ25" s="78"/>
      <c r="BR25" s="78"/>
      <c r="BS25" s="78"/>
      <c r="BT25" s="81"/>
      <c r="BU25" s="38"/>
      <c r="BV25" s="39"/>
    </row>
    <row r="26" spans="2:74" ht="23.1" customHeight="1">
      <c r="B26" s="150" t="s">
        <v>93</v>
      </c>
      <c r="C26" t="s">
        <v>175</v>
      </c>
      <c r="D26" s="152" t="s">
        <v>119</v>
      </c>
      <c r="E26" s="153">
        <v>1</v>
      </c>
      <c r="F26" s="154">
        <v>1</v>
      </c>
      <c r="G26" s="155">
        <f>E26-F26</f>
        <v>0</v>
      </c>
      <c r="H26" s="156"/>
      <c r="I26" s="157"/>
      <c r="J26" s="158"/>
      <c r="K26" s="213"/>
      <c r="L26" s="201">
        <f t="shared" si="0"/>
        <v>1</v>
      </c>
      <c r="M26" s="77"/>
      <c r="N26" s="78"/>
      <c r="O26" s="78"/>
      <c r="P26" s="78"/>
      <c r="Q26" s="78"/>
      <c r="R26" s="80"/>
      <c r="S26" s="80"/>
      <c r="T26" s="80"/>
      <c r="U26" s="80"/>
      <c r="V26" s="80"/>
      <c r="W26" s="78"/>
      <c r="X26" s="78"/>
      <c r="Y26" s="78"/>
      <c r="Z26" s="78"/>
      <c r="AA26" s="81"/>
      <c r="AB26" s="77"/>
      <c r="AC26" s="78"/>
      <c r="AD26" s="78"/>
      <c r="AE26" s="78"/>
      <c r="AF26" s="78"/>
      <c r="AG26" s="82"/>
      <c r="AH26" s="82"/>
      <c r="AI26" s="82"/>
      <c r="AJ26" s="82"/>
      <c r="AK26" s="82"/>
      <c r="AL26" s="78"/>
      <c r="AM26" s="78"/>
      <c r="AN26" s="78"/>
      <c r="AO26" s="78"/>
      <c r="AP26" s="81"/>
      <c r="AQ26" s="77"/>
      <c r="AR26" s="78"/>
      <c r="AS26" s="78"/>
      <c r="AT26" s="78"/>
      <c r="AU26" s="78"/>
      <c r="AV26" s="83"/>
      <c r="AW26" s="83"/>
      <c r="AX26" s="83"/>
      <c r="AY26" s="83"/>
      <c r="AZ26" s="83"/>
      <c r="BA26" s="78"/>
      <c r="BB26" s="78"/>
      <c r="BC26" s="78"/>
      <c r="BD26" s="78"/>
      <c r="BE26" s="81"/>
      <c r="BF26" s="77"/>
      <c r="BG26" s="78"/>
      <c r="BH26" s="78"/>
      <c r="BI26" s="78"/>
      <c r="BJ26" s="78"/>
      <c r="BK26" s="78"/>
      <c r="BL26" s="78"/>
      <c r="BM26" s="78"/>
      <c r="BN26" s="78"/>
      <c r="BO26" s="78"/>
      <c r="BP26" s="78"/>
      <c r="BQ26" s="78"/>
      <c r="BR26" s="78"/>
      <c r="BS26" s="78"/>
      <c r="BT26" s="81"/>
      <c r="BU26" s="38"/>
      <c r="BV26" s="39"/>
    </row>
    <row r="27" spans="2:74" ht="23.1" customHeight="1">
      <c r="B27" s="150" t="s">
        <v>94</v>
      </c>
      <c r="C27" t="s">
        <v>176</v>
      </c>
      <c r="D27" s="152" t="s">
        <v>119</v>
      </c>
      <c r="E27" s="153">
        <v>1</v>
      </c>
      <c r="F27" s="154">
        <v>1</v>
      </c>
      <c r="G27" s="155">
        <f>E27-F27</f>
        <v>0</v>
      </c>
      <c r="H27" s="156"/>
      <c r="I27" s="157"/>
      <c r="J27" s="158"/>
      <c r="K27" s="213"/>
      <c r="L27" s="201">
        <f t="shared" si="0"/>
        <v>1</v>
      </c>
      <c r="M27" s="77"/>
      <c r="N27" s="78"/>
      <c r="O27" s="78"/>
      <c r="P27" s="78"/>
      <c r="Q27" s="78"/>
      <c r="R27" s="80"/>
      <c r="S27" s="80"/>
      <c r="T27" s="80"/>
      <c r="U27" s="80"/>
      <c r="V27" s="80"/>
      <c r="W27" s="78"/>
      <c r="X27" s="78"/>
      <c r="Y27" s="78"/>
      <c r="Z27" s="78"/>
      <c r="AA27" s="81"/>
      <c r="AB27" s="77"/>
      <c r="AC27" s="78"/>
      <c r="AD27" s="78"/>
      <c r="AE27" s="78"/>
      <c r="AF27" s="78"/>
      <c r="AG27" s="82"/>
      <c r="AH27" s="82"/>
      <c r="AI27" s="82"/>
      <c r="AJ27" s="82"/>
      <c r="AK27" s="82"/>
      <c r="AL27" s="78"/>
      <c r="AM27" s="78"/>
      <c r="AN27" s="78"/>
      <c r="AO27" s="78"/>
      <c r="AP27" s="81"/>
      <c r="AQ27" s="77"/>
      <c r="AR27" s="78"/>
      <c r="AS27" s="78"/>
      <c r="AT27" s="78"/>
      <c r="AU27" s="78"/>
      <c r="AV27" s="83"/>
      <c r="AW27" s="83"/>
      <c r="AX27" s="83"/>
      <c r="AY27" s="83"/>
      <c r="AZ27" s="83"/>
      <c r="BA27" s="78"/>
      <c r="BB27" s="78"/>
      <c r="BC27" s="78"/>
      <c r="BD27" s="78"/>
      <c r="BE27" s="81"/>
      <c r="BF27" s="77"/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81"/>
      <c r="BU27" s="38"/>
      <c r="BV27" s="39"/>
    </row>
    <row r="28" spans="2:74" ht="23.1" customHeight="1">
      <c r="B28" s="150" t="s">
        <v>75</v>
      </c>
      <c r="C28" t="s">
        <v>177</v>
      </c>
      <c r="D28" s="152" t="s">
        <v>119</v>
      </c>
      <c r="E28" s="153">
        <v>1</v>
      </c>
      <c r="F28" s="154">
        <v>1</v>
      </c>
      <c r="G28" s="155">
        <f>E28-F28</f>
        <v>0</v>
      </c>
      <c r="H28" s="156"/>
      <c r="I28" s="157"/>
      <c r="J28" s="158"/>
      <c r="K28" s="213"/>
      <c r="L28" s="201">
        <f t="shared" si="0"/>
        <v>1</v>
      </c>
      <c r="M28" s="77"/>
      <c r="N28" s="78"/>
      <c r="O28" s="78"/>
      <c r="P28" s="78"/>
      <c r="Q28" s="78"/>
      <c r="R28" s="80"/>
      <c r="S28" s="80"/>
      <c r="T28" s="80"/>
      <c r="U28" s="80"/>
      <c r="V28" s="80"/>
      <c r="W28" s="78"/>
      <c r="X28" s="78"/>
      <c r="Y28" s="78"/>
      <c r="Z28" s="78"/>
      <c r="AA28" s="81"/>
      <c r="AB28" s="77"/>
      <c r="AC28" s="78"/>
      <c r="AD28" s="78"/>
      <c r="AE28" s="78"/>
      <c r="AF28" s="78"/>
      <c r="AG28" s="82"/>
      <c r="AH28" s="82"/>
      <c r="AI28" s="82"/>
      <c r="AJ28" s="82"/>
      <c r="AK28" s="82"/>
      <c r="AL28" s="78"/>
      <c r="AM28" s="78"/>
      <c r="AN28" s="78"/>
      <c r="AO28" s="78"/>
      <c r="AP28" s="81"/>
      <c r="AQ28" s="77"/>
      <c r="AR28" s="78"/>
      <c r="AS28" s="78"/>
      <c r="AT28" s="78"/>
      <c r="AU28" s="78"/>
      <c r="AV28" s="83"/>
      <c r="AW28" s="83"/>
      <c r="AX28" s="83"/>
      <c r="AY28" s="83"/>
      <c r="AZ28" s="83"/>
      <c r="BA28" s="78"/>
      <c r="BB28" s="78"/>
      <c r="BC28" s="78"/>
      <c r="BD28" s="78"/>
      <c r="BE28" s="81"/>
      <c r="BF28" s="77"/>
      <c r="BG28" s="78"/>
      <c r="BH28" s="78"/>
      <c r="BI28" s="78"/>
      <c r="BJ28" s="78"/>
      <c r="BK28" s="78"/>
      <c r="BL28" s="78"/>
      <c r="BM28" s="78"/>
      <c r="BN28" s="78"/>
      <c r="BO28" s="78"/>
      <c r="BP28" s="78"/>
      <c r="BQ28" s="78"/>
      <c r="BR28" s="78"/>
      <c r="BS28" s="78"/>
      <c r="BT28" s="81"/>
      <c r="BU28" s="38"/>
      <c r="BV28" s="39"/>
    </row>
    <row r="29" spans="2:74" ht="23.1" customHeight="1" thickBot="1">
      <c r="B29" s="150" t="s">
        <v>40</v>
      </c>
      <c r="C29" t="s">
        <v>178</v>
      </c>
      <c r="D29" s="152" t="s">
        <v>119</v>
      </c>
      <c r="E29" s="172">
        <v>1</v>
      </c>
      <c r="F29" s="173">
        <v>1</v>
      </c>
      <c r="G29" s="174">
        <f>E29-F29</f>
        <v>0</v>
      </c>
      <c r="H29" s="175"/>
      <c r="I29" s="176"/>
      <c r="J29" s="177"/>
      <c r="K29" s="214"/>
      <c r="L29" s="201">
        <f t="shared" si="0"/>
        <v>1</v>
      </c>
      <c r="M29" s="86"/>
      <c r="N29" s="87"/>
      <c r="O29" s="87"/>
      <c r="P29" s="87"/>
      <c r="Q29" s="87"/>
      <c r="R29" s="88"/>
      <c r="S29" s="88"/>
      <c r="T29" s="88"/>
      <c r="U29" s="88"/>
      <c r="V29" s="88"/>
      <c r="W29" s="87"/>
      <c r="X29" s="87"/>
      <c r="Y29" s="87"/>
      <c r="Z29" s="87"/>
      <c r="AA29" s="89"/>
      <c r="AB29" s="86"/>
      <c r="AC29" s="87"/>
      <c r="AD29" s="87"/>
      <c r="AE29" s="87"/>
      <c r="AF29" s="87"/>
      <c r="AG29" s="90"/>
      <c r="AH29" s="90"/>
      <c r="AI29" s="90"/>
      <c r="AJ29" s="90"/>
      <c r="AK29" s="90"/>
      <c r="AL29" s="87"/>
      <c r="AM29" s="87"/>
      <c r="AN29" s="87"/>
      <c r="AO29" s="87"/>
      <c r="AP29" s="89"/>
      <c r="AQ29" s="86"/>
      <c r="AR29" s="87"/>
      <c r="AS29" s="87"/>
      <c r="AT29" s="87"/>
      <c r="AU29" s="87"/>
      <c r="AV29" s="91"/>
      <c r="AW29" s="91"/>
      <c r="AX29" s="91"/>
      <c r="AY29" s="91"/>
      <c r="AZ29" s="91"/>
      <c r="BA29" s="87"/>
      <c r="BB29" s="87"/>
      <c r="BC29" s="87"/>
      <c r="BD29" s="87"/>
      <c r="BE29" s="89"/>
      <c r="BF29" s="86"/>
      <c r="BG29" s="87"/>
      <c r="BH29" s="87"/>
      <c r="BI29" s="87"/>
      <c r="BJ29" s="87"/>
      <c r="BK29" s="191"/>
      <c r="BL29" s="191"/>
      <c r="BM29" s="191"/>
      <c r="BN29" s="191"/>
      <c r="BO29" s="191"/>
      <c r="BP29" s="191"/>
      <c r="BQ29" s="191"/>
      <c r="BR29" s="191"/>
      <c r="BS29" s="191"/>
      <c r="BT29" s="192"/>
      <c r="BU29" s="38"/>
      <c r="BV29" s="39"/>
    </row>
    <row r="30" spans="2:74" ht="23.1" customHeight="1">
      <c r="B30" s="194" t="s">
        <v>76</v>
      </c>
      <c r="C30" s="195" t="s">
        <v>161</v>
      </c>
      <c r="D30" s="196"/>
      <c r="E30" s="197">
        <f>SUM(E31:E34)</f>
        <v>8</v>
      </c>
      <c r="F30" s="198">
        <f>SUM(F31:F34)</f>
        <v>8</v>
      </c>
      <c r="G30" s="199">
        <f>SUM(G31:G34)</f>
        <v>0</v>
      </c>
      <c r="H30" s="200"/>
      <c r="I30" s="206">
        <v>45920</v>
      </c>
      <c r="J30" s="206">
        <v>45926</v>
      </c>
      <c r="K30" s="207">
        <f>J30-I30+1</f>
        <v>7</v>
      </c>
      <c r="L30" s="201">
        <f t="shared" si="0"/>
        <v>1</v>
      </c>
      <c r="M30" s="73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5"/>
      <c r="AB30" s="73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5"/>
      <c r="AQ30" s="73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5"/>
      <c r="BF30" s="73"/>
      <c r="BG30" s="74"/>
      <c r="BH30" s="74"/>
      <c r="BI30" s="74"/>
      <c r="BJ30" s="74"/>
      <c r="BK30" s="191"/>
      <c r="BL30" s="191"/>
      <c r="BM30" s="191"/>
      <c r="BN30" s="191"/>
      <c r="BO30" s="191"/>
      <c r="BP30" s="191"/>
      <c r="BQ30" s="191"/>
      <c r="BR30" s="191"/>
      <c r="BS30" s="191"/>
      <c r="BT30" s="192"/>
      <c r="BU30" s="38"/>
      <c r="BV30" s="39"/>
    </row>
    <row r="31" spans="2:74" ht="23.1" customHeight="1">
      <c r="B31" s="150" t="s">
        <v>79</v>
      </c>
      <c r="C31" t="s">
        <v>179</v>
      </c>
      <c r="D31" s="152" t="s">
        <v>119</v>
      </c>
      <c r="E31" s="153">
        <v>3</v>
      </c>
      <c r="F31" s="154">
        <v>3</v>
      </c>
      <c r="G31" s="155">
        <f>E31-F31</f>
        <v>0</v>
      </c>
      <c r="H31" s="212"/>
      <c r="I31" s="157"/>
      <c r="J31" s="158"/>
      <c r="K31" s="213"/>
      <c r="L31" s="201">
        <f t="shared" si="0"/>
        <v>1</v>
      </c>
      <c r="M31" s="73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5"/>
      <c r="AB31" s="73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5"/>
      <c r="AQ31" s="73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5"/>
      <c r="BF31" s="73"/>
      <c r="BG31" s="74"/>
      <c r="BH31" s="74"/>
      <c r="BI31" s="74"/>
      <c r="BJ31" s="74"/>
      <c r="BK31" s="191"/>
      <c r="BL31" s="191"/>
      <c r="BM31" s="191"/>
      <c r="BN31" s="191"/>
      <c r="BO31" s="191"/>
      <c r="BP31" s="191"/>
      <c r="BQ31" s="191"/>
      <c r="BR31" s="191"/>
      <c r="BS31" s="191"/>
      <c r="BT31" s="192"/>
      <c r="BU31" s="38"/>
      <c r="BV31" s="39"/>
    </row>
    <row r="32" spans="2:74" ht="23.1" customHeight="1">
      <c r="B32" s="150" t="s">
        <v>80</v>
      </c>
      <c r="C32" t="s">
        <v>180</v>
      </c>
      <c r="D32" s="152" t="s">
        <v>119</v>
      </c>
      <c r="E32" s="153">
        <v>2</v>
      </c>
      <c r="F32" s="154">
        <v>2</v>
      </c>
      <c r="G32" s="155">
        <f>E32-F32</f>
        <v>0</v>
      </c>
      <c r="H32" s="212"/>
      <c r="I32" s="157"/>
      <c r="J32" s="158"/>
      <c r="K32" s="213"/>
      <c r="L32" s="201">
        <f t="shared" si="0"/>
        <v>1</v>
      </c>
      <c r="M32" s="73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5"/>
      <c r="AB32" s="73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5"/>
      <c r="AQ32" s="73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5"/>
      <c r="BF32" s="73"/>
      <c r="BG32" s="74"/>
      <c r="BH32" s="74"/>
      <c r="BI32" s="74"/>
      <c r="BJ32" s="74"/>
      <c r="BK32" s="191"/>
      <c r="BL32" s="191"/>
      <c r="BM32" s="191"/>
      <c r="BN32" s="191"/>
      <c r="BO32" s="191"/>
      <c r="BP32" s="191"/>
      <c r="BQ32" s="191"/>
      <c r="BR32" s="191"/>
      <c r="BS32" s="191"/>
      <c r="BT32" s="192"/>
      <c r="BU32" s="38"/>
      <c r="BV32" s="39"/>
    </row>
    <row r="33" spans="2:74" ht="23.1" customHeight="1">
      <c r="B33" s="150" t="s">
        <v>81</v>
      </c>
      <c r="C33" t="s">
        <v>181</v>
      </c>
      <c r="D33" s="152" t="s">
        <v>119</v>
      </c>
      <c r="E33" s="153">
        <v>2</v>
      </c>
      <c r="F33" s="154">
        <v>2</v>
      </c>
      <c r="G33" s="155">
        <f>E33-F33</f>
        <v>0</v>
      </c>
      <c r="H33" s="212"/>
      <c r="I33" s="157"/>
      <c r="J33" s="158"/>
      <c r="K33" s="213"/>
      <c r="L33" s="201">
        <f t="shared" si="0"/>
        <v>1</v>
      </c>
      <c r="M33" s="73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5"/>
      <c r="AB33" s="73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5"/>
      <c r="AQ33" s="73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5"/>
      <c r="BF33" s="73"/>
      <c r="BG33" s="74"/>
      <c r="BH33" s="74"/>
      <c r="BI33" s="74"/>
      <c r="BJ33" s="74"/>
      <c r="BK33" s="191"/>
      <c r="BL33" s="191"/>
      <c r="BM33" s="191"/>
      <c r="BN33" s="191"/>
      <c r="BO33" s="191"/>
      <c r="BP33" s="191"/>
      <c r="BQ33" s="191"/>
      <c r="BR33" s="191"/>
      <c r="BS33" s="191"/>
      <c r="BT33" s="192"/>
      <c r="BU33" s="38"/>
      <c r="BV33" s="39"/>
    </row>
    <row r="34" spans="2:74" ht="23.1" customHeight="1" thickBot="1">
      <c r="B34" s="150" t="s">
        <v>82</v>
      </c>
      <c r="C34" t="s">
        <v>182</v>
      </c>
      <c r="D34" s="152" t="s">
        <v>119</v>
      </c>
      <c r="E34" s="153">
        <v>1</v>
      </c>
      <c r="F34" s="154">
        <v>1</v>
      </c>
      <c r="G34" s="174">
        <f>E34-F34</f>
        <v>0</v>
      </c>
      <c r="H34" s="212"/>
      <c r="I34" s="157"/>
      <c r="J34" s="158"/>
      <c r="K34" s="214"/>
      <c r="L34" s="201">
        <f t="shared" si="0"/>
        <v>1</v>
      </c>
      <c r="M34" s="73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5"/>
      <c r="AB34" s="73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5"/>
      <c r="AQ34" s="73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5"/>
      <c r="BF34" s="73"/>
      <c r="BG34" s="74"/>
      <c r="BH34" s="74"/>
      <c r="BI34" s="74"/>
      <c r="BJ34" s="74"/>
      <c r="BK34" s="191"/>
      <c r="BL34" s="191"/>
      <c r="BM34" s="191"/>
      <c r="BN34" s="191"/>
      <c r="BO34" s="191"/>
      <c r="BP34" s="191"/>
      <c r="BQ34" s="191"/>
      <c r="BR34" s="191"/>
      <c r="BS34" s="191"/>
      <c r="BT34" s="192"/>
      <c r="BU34" s="38"/>
      <c r="BV34" s="39"/>
    </row>
    <row r="35" spans="2:74" ht="23.1" customHeight="1">
      <c r="B35" s="194" t="s">
        <v>78</v>
      </c>
      <c r="C35" s="195" t="s">
        <v>162</v>
      </c>
      <c r="D35" s="196"/>
      <c r="E35" s="197">
        <f>SUM(E36:E39)</f>
        <v>4</v>
      </c>
      <c r="F35" s="198">
        <f>SUM(F36:F39)</f>
        <v>4</v>
      </c>
      <c r="G35" s="199">
        <f>SUM(G36:G39)</f>
        <v>0</v>
      </c>
      <c r="H35" s="200"/>
      <c r="I35" s="206">
        <v>45920</v>
      </c>
      <c r="J35" s="206">
        <v>45926</v>
      </c>
      <c r="K35" s="207">
        <f>J35-I35+1</f>
        <v>7</v>
      </c>
      <c r="L35" s="201">
        <f t="shared" si="0"/>
        <v>1</v>
      </c>
      <c r="M35" s="73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5"/>
      <c r="AB35" s="73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5"/>
      <c r="AQ35" s="73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5"/>
      <c r="BF35" s="73"/>
      <c r="BG35" s="74"/>
      <c r="BH35" s="74"/>
      <c r="BI35" s="74"/>
      <c r="BJ35" s="74"/>
      <c r="BK35" s="191"/>
      <c r="BL35" s="191"/>
      <c r="BM35" s="191"/>
      <c r="BN35" s="191"/>
      <c r="BO35" s="191"/>
      <c r="BP35" s="191"/>
      <c r="BQ35" s="191"/>
      <c r="BR35" s="191"/>
      <c r="BS35" s="191"/>
      <c r="BT35" s="192"/>
      <c r="BU35" s="38"/>
      <c r="BV35" s="39"/>
    </row>
    <row r="36" spans="2:74" ht="23.1" customHeight="1">
      <c r="B36" s="150" t="s">
        <v>84</v>
      </c>
      <c r="C36" t="s">
        <v>183</v>
      </c>
      <c r="D36" s="152" t="s">
        <v>119</v>
      </c>
      <c r="E36" s="153">
        <v>1</v>
      </c>
      <c r="F36" s="154">
        <v>1</v>
      </c>
      <c r="G36" s="155">
        <f>E36-F36</f>
        <v>0</v>
      </c>
      <c r="H36" s="212"/>
      <c r="I36" s="157"/>
      <c r="J36" s="158"/>
      <c r="K36" s="213"/>
      <c r="L36" s="201">
        <f t="shared" si="0"/>
        <v>1</v>
      </c>
      <c r="M36" s="73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5"/>
      <c r="AB36" s="73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5"/>
      <c r="AQ36" s="73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5"/>
      <c r="BF36" s="73"/>
      <c r="BG36" s="74"/>
      <c r="BH36" s="74"/>
      <c r="BI36" s="74"/>
      <c r="BJ36" s="74"/>
      <c r="BK36" s="191"/>
      <c r="BL36" s="191"/>
      <c r="BM36" s="191"/>
      <c r="BN36" s="191"/>
      <c r="BO36" s="191"/>
      <c r="BP36" s="191"/>
      <c r="BQ36" s="191"/>
      <c r="BR36" s="191"/>
      <c r="BS36" s="191"/>
      <c r="BT36" s="192"/>
      <c r="BU36" s="38"/>
      <c r="BV36" s="39"/>
    </row>
    <row r="37" spans="2:74" ht="23.1" customHeight="1">
      <c r="B37" s="150" t="s">
        <v>85</v>
      </c>
      <c r="C37" t="s">
        <v>184</v>
      </c>
      <c r="D37" s="152" t="s">
        <v>119</v>
      </c>
      <c r="E37" s="153">
        <v>1</v>
      </c>
      <c r="F37" s="154">
        <v>1</v>
      </c>
      <c r="G37" s="155">
        <f>E37-F37</f>
        <v>0</v>
      </c>
      <c r="H37" s="212"/>
      <c r="I37" s="157"/>
      <c r="J37" s="158"/>
      <c r="K37" s="213"/>
      <c r="L37" s="201">
        <f t="shared" si="0"/>
        <v>1</v>
      </c>
      <c r="M37" s="73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5"/>
      <c r="AB37" s="73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5"/>
      <c r="AQ37" s="73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5"/>
      <c r="BF37" s="73"/>
      <c r="BG37" s="74"/>
      <c r="BH37" s="74"/>
      <c r="BI37" s="74"/>
      <c r="BJ37" s="74"/>
      <c r="BK37" s="191"/>
      <c r="BL37" s="191"/>
      <c r="BM37" s="191"/>
      <c r="BN37" s="191"/>
      <c r="BO37" s="191"/>
      <c r="BP37" s="191"/>
      <c r="BQ37" s="191"/>
      <c r="BR37" s="191"/>
      <c r="BS37" s="191"/>
      <c r="BT37" s="192"/>
      <c r="BU37" s="38"/>
      <c r="BV37" s="39"/>
    </row>
    <row r="38" spans="2:74" ht="23.1" customHeight="1">
      <c r="B38" s="150" t="s">
        <v>86</v>
      </c>
      <c r="C38" t="s">
        <v>185</v>
      </c>
      <c r="D38" s="152" t="s">
        <v>119</v>
      </c>
      <c r="E38" s="153">
        <v>1</v>
      </c>
      <c r="F38" s="154">
        <v>1</v>
      </c>
      <c r="G38" s="155">
        <f>E38-F38</f>
        <v>0</v>
      </c>
      <c r="H38" s="212"/>
      <c r="I38" s="157"/>
      <c r="J38" s="158"/>
      <c r="K38" s="213"/>
      <c r="L38" s="201">
        <f t="shared" si="0"/>
        <v>1</v>
      </c>
      <c r="M38" s="73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5"/>
      <c r="AB38" s="73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5"/>
      <c r="AQ38" s="73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5"/>
      <c r="BF38" s="73"/>
      <c r="BG38" s="74"/>
      <c r="BH38" s="74"/>
      <c r="BI38" s="74"/>
      <c r="BJ38" s="74"/>
      <c r="BK38" s="191"/>
      <c r="BL38" s="191"/>
      <c r="BM38" s="191"/>
      <c r="BN38" s="191"/>
      <c r="BO38" s="191"/>
      <c r="BP38" s="191"/>
      <c r="BQ38" s="191"/>
      <c r="BR38" s="191"/>
      <c r="BS38" s="191"/>
      <c r="BT38" s="192"/>
      <c r="BU38" s="38"/>
      <c r="BV38" s="39"/>
    </row>
    <row r="39" spans="2:74" ht="23.1" customHeight="1" thickBot="1">
      <c r="B39" s="150" t="s">
        <v>87</v>
      </c>
      <c r="C39" t="s">
        <v>186</v>
      </c>
      <c r="D39" s="152" t="s">
        <v>119</v>
      </c>
      <c r="E39" s="219">
        <v>1</v>
      </c>
      <c r="F39" s="220">
        <v>1</v>
      </c>
      <c r="G39" s="190">
        <f>E39-F39</f>
        <v>0</v>
      </c>
      <c r="H39" s="221"/>
      <c r="I39" s="222"/>
      <c r="J39" s="158"/>
      <c r="K39" s="214"/>
      <c r="L39" s="201">
        <f t="shared" si="0"/>
        <v>1</v>
      </c>
      <c r="M39" s="73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5"/>
      <c r="AB39" s="73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5"/>
      <c r="AQ39" s="73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5"/>
      <c r="BF39" s="73"/>
      <c r="BG39" s="74"/>
      <c r="BH39" s="74"/>
      <c r="BI39" s="74"/>
      <c r="BJ39" s="74"/>
      <c r="BK39" s="87"/>
      <c r="BL39" s="87"/>
      <c r="BM39" s="87"/>
      <c r="BN39" s="87"/>
      <c r="BO39" s="87"/>
      <c r="BP39" s="87"/>
      <c r="BQ39" s="87"/>
      <c r="BR39" s="87"/>
      <c r="BS39" s="87"/>
      <c r="BT39" s="89"/>
      <c r="BU39" s="38"/>
      <c r="BV39" s="39"/>
    </row>
    <row r="40" spans="2:74" ht="23.1" customHeight="1">
      <c r="B40" s="38"/>
      <c r="D40" s="223"/>
      <c r="E40" s="224" t="s">
        <v>28</v>
      </c>
      <c r="F40" s="224" t="s">
        <v>29</v>
      </c>
      <c r="G40" s="224" t="s">
        <v>30</v>
      </c>
      <c r="H40" s="224" t="s">
        <v>41</v>
      </c>
      <c r="I40" s="224" t="s">
        <v>42</v>
      </c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9"/>
    </row>
    <row r="41" spans="2:74" ht="23.1" customHeight="1">
      <c r="B41" s="38"/>
      <c r="C41" s="36" t="s">
        <v>43</v>
      </c>
      <c r="D41" s="215" t="s">
        <v>44</v>
      </c>
      <c r="E41" s="216">
        <f>SUM(E11:E14,E16:E19,E21:E24,E26:E29,E31:E34,E36:E39)</f>
        <v>56</v>
      </c>
      <c r="F41" s="216">
        <f>SUM(F11:F14,F16:F19,F21:F24,F26:F29,F31:F34,F36:F39)</f>
        <v>56</v>
      </c>
      <c r="G41" s="216">
        <f>SUM(G11:G14,G16:G19,G21:G24,G26:G29,G31:G34,G36:G39)</f>
        <v>0</v>
      </c>
      <c r="H41" s="217">
        <v>7</v>
      </c>
      <c r="I41" s="218">
        <f>E41/H41</f>
        <v>8</v>
      </c>
      <c r="J41" s="38"/>
      <c r="K41" s="38"/>
      <c r="L41" s="182" t="s">
        <v>45</v>
      </c>
      <c r="M41" s="95">
        <v>1</v>
      </c>
      <c r="N41" s="95">
        <v>2</v>
      </c>
      <c r="O41" s="95">
        <v>3</v>
      </c>
      <c r="P41" s="95">
        <v>4</v>
      </c>
      <c r="Q41" s="95">
        <v>5</v>
      </c>
      <c r="R41" s="95">
        <v>6</v>
      </c>
      <c r="S41" s="95">
        <v>7</v>
      </c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95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95"/>
      <c r="BQ41" s="95"/>
      <c r="BR41" s="95"/>
      <c r="BS41" s="95"/>
      <c r="BT41" s="95"/>
      <c r="BU41" s="38"/>
      <c r="BV41" s="137" t="s">
        <v>46</v>
      </c>
    </row>
    <row r="42" spans="2:74" ht="23.1" customHeight="1">
      <c r="B42" s="38"/>
      <c r="C42" s="38"/>
      <c r="D42" s="38"/>
      <c r="E42" s="38"/>
      <c r="F42" s="38"/>
      <c r="G42" s="38"/>
      <c r="H42" s="96" t="s">
        <v>47</v>
      </c>
      <c r="I42" s="38"/>
      <c r="J42" s="38"/>
      <c r="K42" s="38"/>
      <c r="L42" s="182" t="s">
        <v>48</v>
      </c>
      <c r="M42" s="97">
        <f>E41</f>
        <v>56</v>
      </c>
      <c r="N42" s="98">
        <f>M42-I41</f>
        <v>48</v>
      </c>
      <c r="O42" s="98">
        <f>N42-I41</f>
        <v>40</v>
      </c>
      <c r="P42" s="98">
        <f>O42-I41</f>
        <v>32</v>
      </c>
      <c r="Q42" s="98">
        <f>P42-I41</f>
        <v>24</v>
      </c>
      <c r="R42" s="98">
        <f>Q42-I41</f>
        <v>16</v>
      </c>
      <c r="S42" s="98">
        <f>R42-I41</f>
        <v>8</v>
      </c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38"/>
      <c r="BV42" s="138" t="s">
        <v>49</v>
      </c>
    </row>
    <row r="43" spans="2:74" ht="23.1" customHeight="1"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182" t="s">
        <v>28</v>
      </c>
      <c r="M43" s="97">
        <f>E41</f>
        <v>56</v>
      </c>
      <c r="N43" s="97">
        <f t="shared" ref="N43:S43" si="1">M45</f>
        <v>56</v>
      </c>
      <c r="O43" s="97">
        <f t="shared" si="1"/>
        <v>44</v>
      </c>
      <c r="P43" s="97">
        <f t="shared" si="1"/>
        <v>34</v>
      </c>
      <c r="Q43" s="97">
        <f t="shared" si="1"/>
        <v>30</v>
      </c>
      <c r="R43" s="97">
        <f t="shared" si="1"/>
        <v>18</v>
      </c>
      <c r="S43" s="97">
        <f t="shared" si="1"/>
        <v>12</v>
      </c>
      <c r="T43" s="97"/>
      <c r="U43" s="97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97"/>
      <c r="AO43" s="97"/>
      <c r="AP43" s="97"/>
      <c r="AQ43" s="97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38"/>
      <c r="BV43" s="139">
        <f>SUM(M43:BT43)</f>
        <v>250</v>
      </c>
    </row>
    <row r="44" spans="2:74" ht="23.1" customHeight="1">
      <c r="B44" s="38"/>
      <c r="C44" s="38"/>
      <c r="D44" s="38"/>
      <c r="E44" s="38"/>
      <c r="F44" s="38"/>
      <c r="G44" s="38"/>
      <c r="H44" s="38"/>
      <c r="I44" s="38"/>
      <c r="J44" s="38"/>
      <c r="K44" s="99" t="s">
        <v>50</v>
      </c>
      <c r="L44" s="182" t="s">
        <v>51</v>
      </c>
      <c r="M44" s="76">
        <v>0</v>
      </c>
      <c r="N44" s="76">
        <v>12</v>
      </c>
      <c r="O44" s="76">
        <v>10</v>
      </c>
      <c r="P44" s="76">
        <v>4</v>
      </c>
      <c r="Q44" s="76">
        <v>12</v>
      </c>
      <c r="R44" s="76">
        <v>6</v>
      </c>
      <c r="S44" s="76">
        <v>12</v>
      </c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76"/>
      <c r="BC44" s="76"/>
      <c r="BD44" s="76"/>
      <c r="BE44" s="76"/>
      <c r="BF44" s="76"/>
      <c r="BG44" s="76"/>
      <c r="BH44" s="76"/>
      <c r="BI44" s="76"/>
      <c r="BJ44" s="76"/>
      <c r="BK44" s="76"/>
      <c r="BL44" s="76"/>
      <c r="BM44" s="76"/>
      <c r="BN44" s="76"/>
      <c r="BO44" s="76"/>
      <c r="BP44" s="76"/>
      <c r="BQ44" s="76"/>
      <c r="BR44" s="76"/>
      <c r="BS44" s="76"/>
      <c r="BT44" s="76"/>
      <c r="BU44" s="38"/>
      <c r="BV44" s="140">
        <f>SUM(M44:BT44)</f>
        <v>56</v>
      </c>
    </row>
    <row r="45" spans="2:74" ht="23.1" customHeight="1"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182" t="s">
        <v>52</v>
      </c>
      <c r="M45" s="97">
        <f t="shared" ref="M45:S45" si="2">M43-M44</f>
        <v>56</v>
      </c>
      <c r="N45" s="97">
        <f t="shared" si="2"/>
        <v>44</v>
      </c>
      <c r="O45" s="97">
        <f t="shared" si="2"/>
        <v>34</v>
      </c>
      <c r="P45" s="97">
        <f t="shared" si="2"/>
        <v>30</v>
      </c>
      <c r="Q45" s="97">
        <f t="shared" si="2"/>
        <v>18</v>
      </c>
      <c r="R45" s="97">
        <f t="shared" si="2"/>
        <v>12</v>
      </c>
      <c r="S45" s="97">
        <f t="shared" si="2"/>
        <v>0</v>
      </c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97"/>
      <c r="AO45" s="97"/>
      <c r="AP45" s="97"/>
      <c r="AQ45" s="97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38"/>
      <c r="BV45" s="140">
        <f>SUM(M45:BT45)</f>
        <v>194</v>
      </c>
    </row>
    <row r="46" spans="2:74" ht="19.5" customHeight="1">
      <c r="C46" s="36" t="s">
        <v>53</v>
      </c>
      <c r="I46" s="210"/>
    </row>
    <row r="47" spans="2:74" ht="381.95" customHeight="1"/>
    <row r="48" spans="2:74" ht="216.95" customHeight="1"/>
    <row r="50" spans="2:74" ht="50.1" customHeight="1">
      <c r="B50" s="253"/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4"/>
      <c r="AM50" s="254"/>
      <c r="AN50" s="254"/>
      <c r="AO50" s="254"/>
      <c r="AP50" s="254"/>
      <c r="AQ50" s="254"/>
      <c r="AR50" s="254"/>
      <c r="AS50" s="254"/>
      <c r="AT50" s="254"/>
      <c r="AU50" s="254"/>
      <c r="AV50" s="254"/>
      <c r="AW50" s="254"/>
      <c r="AX50" s="254"/>
      <c r="AY50" s="254"/>
      <c r="AZ50" s="254"/>
      <c r="BA50" s="254"/>
      <c r="BB50" s="254"/>
      <c r="BC50" s="254"/>
      <c r="BD50" s="254"/>
      <c r="BE50" s="254"/>
      <c r="BF50" s="254"/>
      <c r="BG50" s="254"/>
      <c r="BH50" s="254"/>
      <c r="BI50" s="254"/>
      <c r="BJ50" s="254"/>
      <c r="BK50" s="254"/>
      <c r="BL50" s="254"/>
      <c r="BM50" s="254"/>
      <c r="BN50" s="254"/>
      <c r="BO50" s="254"/>
      <c r="BP50" s="254"/>
      <c r="BQ50" s="254"/>
      <c r="BR50" s="254"/>
      <c r="BS50" s="254"/>
      <c r="BT50" s="254"/>
      <c r="BU50" s="254"/>
      <c r="BV50" s="255"/>
    </row>
  </sheetData>
  <mergeCells count="23">
    <mergeCell ref="BP8:BT8"/>
    <mergeCell ref="B50:BV50"/>
    <mergeCell ref="AL8:AP8"/>
    <mergeCell ref="AQ8:AU8"/>
    <mergeCell ref="AV8:AZ8"/>
    <mergeCell ref="BA8:BE8"/>
    <mergeCell ref="BF8:BJ8"/>
    <mergeCell ref="BK8:BO8"/>
    <mergeCell ref="L8:L9"/>
    <mergeCell ref="M8:Q8"/>
    <mergeCell ref="R8:V8"/>
    <mergeCell ref="W8:AA8"/>
    <mergeCell ref="AB8:AF8"/>
    <mergeCell ref="AG8:AK8"/>
    <mergeCell ref="K3:K7"/>
    <mergeCell ref="B8:B9"/>
    <mergeCell ref="C8:C9"/>
    <mergeCell ref="D8:D9"/>
    <mergeCell ref="E8:G8"/>
    <mergeCell ref="H8:H9"/>
    <mergeCell ref="I8:I9"/>
    <mergeCell ref="J8:J9"/>
    <mergeCell ref="K8:K9"/>
  </mergeCells>
  <conditionalFormatting sqref="L10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{9B27F8C1-EA0E-434F-AC64-BFE121432213}</x14:id>
        </ext>
      </extLst>
    </cfRule>
  </conditionalFormatting>
  <conditionalFormatting sqref="L10:L14">
    <cfRule type="dataBar" priority="5">
      <dataBar>
        <cfvo type="percent" val="1"/>
        <cfvo type="percent" val="100"/>
        <color theme="8" tint="0.59999389629810485"/>
      </dataBar>
    </cfRule>
  </conditionalFormatting>
  <conditionalFormatting sqref="L10:L3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{C3001671-2CCF-4A10-984A-A5AA31E768C6}</x14:id>
        </ext>
      </extLst>
    </cfRule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{2661506F-2552-497C-A78C-DB88260929C2}</x14:id>
        </ext>
      </extLst>
    </cfRule>
  </conditionalFormatting>
  <conditionalFormatting sqref="L15:L39">
    <cfRule type="dataBar" priority="4">
      <dataBar>
        <cfvo type="percent" val="1"/>
        <cfvo type="percent" val="100"/>
        <color theme="8" tint="0.59999389629810485"/>
      </dataBar>
    </cfRule>
  </conditionalFormatting>
  <pageMargins left="0.3" right="0.3" top="0.3" bottom="0.3" header="0" footer="0"/>
  <pageSetup scale="32" fitToHeight="0" orientation="landscape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27F8C1-EA0E-434F-AC64-BFE121432213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L10</xm:sqref>
        </x14:conditionalFormatting>
        <x14:conditionalFormatting xmlns:xm="http://schemas.microsoft.com/office/excel/2006/main">
          <x14:cfRule type="dataBar" id="{C3001671-2CCF-4A10-984A-A5AA31E768C6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61506F-2552-497C-A78C-DB8826092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L10:L39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D8531-0EB9-4D73-9707-419A69651EAF}">
  <sheetPr>
    <tabColor theme="3"/>
    <pageSetUpPr fitToPage="1"/>
  </sheetPr>
  <dimension ref="A1:BV44"/>
  <sheetViews>
    <sheetView showGridLines="0" zoomScaleNormal="100" zoomScalePageLayoutView="70" workbookViewId="0">
      <pane ySplit="1" topLeftCell="A2" activePane="bottomLeft" state="frozen"/>
      <selection pane="bottomLeft" activeCell="S38" sqref="S38"/>
    </sheetView>
  </sheetViews>
  <sheetFormatPr baseColWidth="10" defaultColWidth="11.125" defaultRowHeight="15.75"/>
  <cols>
    <col min="1" max="1" width="3.25" style="230" customWidth="1"/>
    <col min="2" max="2" width="10.5" style="230" customWidth="1"/>
    <col min="3" max="3" width="30.25" style="230" customWidth="1"/>
    <col min="4" max="4" width="22" style="230" customWidth="1"/>
    <col min="5" max="8" width="9" style="230" customWidth="1"/>
    <col min="9" max="10" width="10.875" style="230" customWidth="1"/>
    <col min="11" max="11" width="9.75" style="230" customWidth="1"/>
    <col min="12" max="12" width="15" style="230" customWidth="1"/>
    <col min="13" max="72" width="3.875" style="230" customWidth="1"/>
    <col min="73" max="73" width="1" style="230" customWidth="1"/>
    <col min="74" max="74" width="8.5" style="231" customWidth="1"/>
    <col min="75" max="75" width="3.25" style="230" customWidth="1"/>
    <col min="76" max="16384" width="11.125" style="230"/>
  </cols>
  <sheetData>
    <row r="1" spans="1:74" ht="45" customHeight="1">
      <c r="A1" s="31"/>
      <c r="B1" s="32" t="s">
        <v>131</v>
      </c>
      <c r="C1" s="33"/>
      <c r="D1" s="33"/>
      <c r="E1" s="33"/>
      <c r="F1" s="33"/>
      <c r="G1" s="33"/>
      <c r="H1" s="33"/>
      <c r="I1" s="33"/>
      <c r="J1" s="34"/>
      <c r="K1" s="34"/>
      <c r="L1" s="34"/>
      <c r="M1" s="34"/>
      <c r="N1" s="34"/>
      <c r="O1" s="34"/>
      <c r="P1" s="34"/>
    </row>
    <row r="2" spans="1:74" s="231" customFormat="1" ht="35.1" customHeight="1" thickBot="1">
      <c r="B2" s="106"/>
      <c r="C2" s="37"/>
      <c r="D2" s="37"/>
      <c r="E2" s="37"/>
      <c r="F2" s="36"/>
      <c r="G2" s="37"/>
      <c r="H2" s="37"/>
      <c r="I2" s="37"/>
      <c r="J2" s="37"/>
      <c r="K2" s="37"/>
      <c r="L2" s="37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</row>
    <row r="3" spans="1:74" ht="23.1" customHeight="1">
      <c r="B3" s="40"/>
      <c r="C3" s="40"/>
      <c r="D3" s="40"/>
      <c r="E3" s="40"/>
      <c r="F3" s="40"/>
      <c r="G3" s="40"/>
      <c r="H3" s="40"/>
      <c r="I3" s="40"/>
      <c r="J3" s="41"/>
      <c r="K3" s="259" t="s">
        <v>1</v>
      </c>
      <c r="L3" s="42" t="s">
        <v>2</v>
      </c>
      <c r="M3" s="43"/>
      <c r="N3" s="43"/>
      <c r="O3" s="43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6"/>
      <c r="BU3" s="38"/>
      <c r="BV3" s="39"/>
    </row>
    <row r="4" spans="1:74" ht="23.1" customHeight="1">
      <c r="B4" s="40"/>
      <c r="C4" s="40"/>
      <c r="D4" s="40"/>
      <c r="E4" s="40"/>
      <c r="F4" s="40"/>
      <c r="G4" s="40"/>
      <c r="H4" s="40"/>
      <c r="I4" s="40"/>
      <c r="J4" s="41"/>
      <c r="K4" s="260"/>
      <c r="L4" s="47" t="s">
        <v>3</v>
      </c>
      <c r="M4" s="48"/>
      <c r="N4" s="48"/>
      <c r="O4" s="48"/>
      <c r="P4" s="49"/>
      <c r="Q4" s="49"/>
      <c r="R4" s="49"/>
      <c r="S4" s="49"/>
      <c r="T4" s="49"/>
      <c r="U4" s="49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51"/>
      <c r="BU4" s="38"/>
      <c r="BV4" s="39"/>
    </row>
    <row r="5" spans="1:74" ht="23.1" customHeight="1">
      <c r="B5" s="36"/>
      <c r="C5" s="37"/>
      <c r="D5" s="37"/>
      <c r="E5" s="37"/>
      <c r="F5" s="37"/>
      <c r="G5" s="37"/>
      <c r="H5" s="37"/>
      <c r="I5" s="36"/>
      <c r="J5" s="37"/>
      <c r="K5" s="260"/>
      <c r="L5" s="52" t="s">
        <v>4</v>
      </c>
      <c r="M5" s="48"/>
      <c r="N5" s="48"/>
      <c r="O5" s="48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53"/>
      <c r="AB5" s="53"/>
      <c r="AC5" s="53"/>
      <c r="AD5" s="53"/>
      <c r="AE5" s="53"/>
      <c r="AF5" s="53"/>
      <c r="AG5" s="53"/>
      <c r="AH5" s="53"/>
      <c r="AI5" s="53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1"/>
      <c r="BU5" s="38"/>
      <c r="BV5" s="39"/>
    </row>
    <row r="6" spans="1:74" ht="23.1" customHeight="1">
      <c r="B6" s="36"/>
      <c r="C6" s="37"/>
      <c r="D6" s="37"/>
      <c r="E6" s="37"/>
      <c r="F6" s="37"/>
      <c r="G6" s="37"/>
      <c r="H6" s="37"/>
      <c r="I6" s="36"/>
      <c r="J6" s="37"/>
      <c r="K6" s="260"/>
      <c r="L6" s="54" t="s">
        <v>5</v>
      </c>
      <c r="M6" s="48"/>
      <c r="N6" s="48"/>
      <c r="O6" s="48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51"/>
      <c r="BU6" s="38"/>
      <c r="BV6" s="39"/>
    </row>
    <row r="7" spans="1:74" ht="23.1" customHeight="1" thickBot="1">
      <c r="B7" s="36"/>
      <c r="C7" s="37"/>
      <c r="D7" s="37"/>
      <c r="E7" s="37"/>
      <c r="F7" s="37"/>
      <c r="G7" s="37"/>
      <c r="H7" s="37"/>
      <c r="I7" s="36"/>
      <c r="J7" s="37"/>
      <c r="K7" s="261"/>
      <c r="L7" s="56" t="s">
        <v>6</v>
      </c>
      <c r="M7" s="48"/>
      <c r="N7" s="48"/>
      <c r="O7" s="48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57"/>
      <c r="AX7" s="57"/>
      <c r="AY7" s="57"/>
      <c r="AZ7" s="57"/>
      <c r="BA7" s="57"/>
      <c r="BB7" s="57"/>
      <c r="BC7" s="57"/>
      <c r="BD7" s="57"/>
      <c r="BE7" s="57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51"/>
      <c r="BU7" s="38"/>
      <c r="BV7" s="39"/>
    </row>
    <row r="8" spans="1:74" ht="23.1" customHeight="1" thickBot="1">
      <c r="B8" s="242" t="s">
        <v>7</v>
      </c>
      <c r="C8" s="251" t="s">
        <v>8</v>
      </c>
      <c r="D8" s="246" t="s">
        <v>9</v>
      </c>
      <c r="E8" s="256" t="s">
        <v>10</v>
      </c>
      <c r="F8" s="257"/>
      <c r="G8" s="258"/>
      <c r="H8" s="244" t="s">
        <v>11</v>
      </c>
      <c r="I8" s="248" t="s">
        <v>12</v>
      </c>
      <c r="J8" s="249" t="s">
        <v>13</v>
      </c>
      <c r="K8" s="262" t="s">
        <v>14</v>
      </c>
      <c r="L8" s="263" t="s">
        <v>15</v>
      </c>
      <c r="M8" s="265" t="s">
        <v>16</v>
      </c>
      <c r="N8" s="240"/>
      <c r="O8" s="240"/>
      <c r="P8" s="240"/>
      <c r="Q8" s="241"/>
      <c r="R8" s="266" t="s">
        <v>17</v>
      </c>
      <c r="S8" s="240"/>
      <c r="T8" s="240"/>
      <c r="U8" s="240"/>
      <c r="V8" s="241"/>
      <c r="W8" s="266" t="s">
        <v>18</v>
      </c>
      <c r="X8" s="240"/>
      <c r="Y8" s="240"/>
      <c r="Z8" s="240"/>
      <c r="AA8" s="241"/>
      <c r="AB8" s="268" t="s">
        <v>19</v>
      </c>
      <c r="AC8" s="240"/>
      <c r="AD8" s="240"/>
      <c r="AE8" s="240"/>
      <c r="AF8" s="241"/>
      <c r="AG8" s="269" t="s">
        <v>20</v>
      </c>
      <c r="AH8" s="240"/>
      <c r="AI8" s="240"/>
      <c r="AJ8" s="240"/>
      <c r="AK8" s="241"/>
      <c r="AL8" s="269" t="s">
        <v>21</v>
      </c>
      <c r="AM8" s="240"/>
      <c r="AN8" s="240"/>
      <c r="AO8" s="240"/>
      <c r="AP8" s="241"/>
      <c r="AQ8" s="267" t="s">
        <v>22</v>
      </c>
      <c r="AR8" s="240"/>
      <c r="AS8" s="240"/>
      <c r="AT8" s="240"/>
      <c r="AU8" s="241"/>
      <c r="AV8" s="270" t="s">
        <v>23</v>
      </c>
      <c r="AW8" s="240"/>
      <c r="AX8" s="240"/>
      <c r="AY8" s="240"/>
      <c r="AZ8" s="241"/>
      <c r="BA8" s="270" t="s">
        <v>24</v>
      </c>
      <c r="BB8" s="240"/>
      <c r="BC8" s="240"/>
      <c r="BD8" s="240"/>
      <c r="BE8" s="241"/>
      <c r="BF8" s="271" t="s">
        <v>25</v>
      </c>
      <c r="BG8" s="240"/>
      <c r="BH8" s="240"/>
      <c r="BI8" s="240"/>
      <c r="BJ8" s="241"/>
      <c r="BK8" s="239"/>
      <c r="BL8" s="240"/>
      <c r="BM8" s="240"/>
      <c r="BN8" s="240"/>
      <c r="BO8" s="241"/>
      <c r="BP8" s="239"/>
      <c r="BQ8" s="240"/>
      <c r="BR8" s="240"/>
      <c r="BS8" s="240"/>
      <c r="BT8" s="241"/>
      <c r="BU8" s="38"/>
      <c r="BV8" s="39"/>
    </row>
    <row r="9" spans="1:74" ht="23.1" customHeight="1" thickTop="1" thickBot="1">
      <c r="B9" s="243"/>
      <c r="C9" s="252"/>
      <c r="D9" s="247"/>
      <c r="E9" s="58" t="s">
        <v>28</v>
      </c>
      <c r="F9" s="59" t="s">
        <v>29</v>
      </c>
      <c r="G9" s="60" t="s">
        <v>30</v>
      </c>
      <c r="H9" s="245"/>
      <c r="I9" s="241"/>
      <c r="J9" s="250"/>
      <c r="K9" s="250"/>
      <c r="L9" s="264"/>
      <c r="M9" s="61" t="s">
        <v>31</v>
      </c>
      <c r="N9" s="62" t="s">
        <v>32</v>
      </c>
      <c r="O9" s="62" t="s">
        <v>33</v>
      </c>
      <c r="P9" s="62" t="s">
        <v>34</v>
      </c>
      <c r="Q9" s="62" t="s">
        <v>35</v>
      </c>
      <c r="R9" s="62" t="s">
        <v>31</v>
      </c>
      <c r="S9" s="62" t="s">
        <v>32</v>
      </c>
      <c r="T9" s="62" t="s">
        <v>33</v>
      </c>
      <c r="U9" s="62" t="s">
        <v>34</v>
      </c>
      <c r="V9" s="62" t="s">
        <v>35</v>
      </c>
      <c r="W9" s="62" t="s">
        <v>31</v>
      </c>
      <c r="X9" s="62" t="s">
        <v>32</v>
      </c>
      <c r="Y9" s="62" t="s">
        <v>33</v>
      </c>
      <c r="Z9" s="62" t="s">
        <v>34</v>
      </c>
      <c r="AA9" s="63" t="s">
        <v>35</v>
      </c>
      <c r="AB9" s="64" t="s">
        <v>31</v>
      </c>
      <c r="AC9" s="65" t="s">
        <v>32</v>
      </c>
      <c r="AD9" s="65" t="s">
        <v>33</v>
      </c>
      <c r="AE9" s="65" t="s">
        <v>34</v>
      </c>
      <c r="AF9" s="65" t="s">
        <v>35</v>
      </c>
      <c r="AG9" s="65" t="s">
        <v>31</v>
      </c>
      <c r="AH9" s="65" t="s">
        <v>32</v>
      </c>
      <c r="AI9" s="65" t="s">
        <v>33</v>
      </c>
      <c r="AJ9" s="65" t="s">
        <v>34</v>
      </c>
      <c r="AK9" s="65" t="s">
        <v>35</v>
      </c>
      <c r="AL9" s="65" t="s">
        <v>31</v>
      </c>
      <c r="AM9" s="65" t="s">
        <v>32</v>
      </c>
      <c r="AN9" s="65" t="s">
        <v>33</v>
      </c>
      <c r="AO9" s="65" t="s">
        <v>34</v>
      </c>
      <c r="AP9" s="66" t="s">
        <v>35</v>
      </c>
      <c r="AQ9" s="67" t="s">
        <v>31</v>
      </c>
      <c r="AR9" s="68" t="s">
        <v>32</v>
      </c>
      <c r="AS9" s="68" t="s">
        <v>33</v>
      </c>
      <c r="AT9" s="68" t="s">
        <v>34</v>
      </c>
      <c r="AU9" s="68" t="s">
        <v>35</v>
      </c>
      <c r="AV9" s="68" t="s">
        <v>31</v>
      </c>
      <c r="AW9" s="68" t="s">
        <v>32</v>
      </c>
      <c r="AX9" s="68" t="s">
        <v>33</v>
      </c>
      <c r="AY9" s="68" t="s">
        <v>34</v>
      </c>
      <c r="AZ9" s="68" t="s">
        <v>35</v>
      </c>
      <c r="BA9" s="68" t="s">
        <v>31</v>
      </c>
      <c r="BB9" s="68" t="s">
        <v>32</v>
      </c>
      <c r="BC9" s="68" t="s">
        <v>33</v>
      </c>
      <c r="BD9" s="68" t="s">
        <v>34</v>
      </c>
      <c r="BE9" s="69" t="s">
        <v>35</v>
      </c>
      <c r="BF9" s="70" t="s">
        <v>31</v>
      </c>
      <c r="BG9" s="71" t="s">
        <v>32</v>
      </c>
      <c r="BH9" s="71" t="s">
        <v>33</v>
      </c>
      <c r="BI9" s="71" t="s">
        <v>34</v>
      </c>
      <c r="BJ9" s="71" t="s">
        <v>35</v>
      </c>
      <c r="BK9" s="188"/>
      <c r="BL9" s="188"/>
      <c r="BM9" s="188"/>
      <c r="BN9" s="188"/>
      <c r="BO9" s="188"/>
      <c r="BP9" s="188"/>
      <c r="BQ9" s="188"/>
      <c r="BR9" s="188"/>
      <c r="BS9" s="188"/>
      <c r="BT9" s="189"/>
      <c r="BU9" s="38"/>
      <c r="BV9" s="39"/>
    </row>
    <row r="10" spans="1:74" ht="23.1" customHeight="1" thickTop="1">
      <c r="B10" s="202">
        <v>1</v>
      </c>
      <c r="C10" s="203" t="s">
        <v>132</v>
      </c>
      <c r="D10" s="204"/>
      <c r="E10" s="197">
        <f>SUM(E11:E13)</f>
        <v>16</v>
      </c>
      <c r="F10" s="198">
        <f>SUM(F11:F13)</f>
        <v>16</v>
      </c>
      <c r="G10" s="199">
        <f>SUM(G11:G13)</f>
        <v>0</v>
      </c>
      <c r="H10" s="205"/>
      <c r="I10" s="206">
        <v>45927</v>
      </c>
      <c r="J10" s="206">
        <v>45933</v>
      </c>
      <c r="K10" s="207">
        <f>J10-I10+1</f>
        <v>7</v>
      </c>
      <c r="L10" s="201">
        <f t="shared" ref="L10:L33" si="0">IFERROR(F10/E10,"")</f>
        <v>1</v>
      </c>
      <c r="M10" s="73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5"/>
      <c r="AB10" s="73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5"/>
      <c r="AQ10" s="73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5"/>
      <c r="BF10" s="73"/>
      <c r="BG10" s="74"/>
      <c r="BH10" s="74"/>
      <c r="BI10" s="74"/>
      <c r="BJ10" s="74"/>
      <c r="BK10" s="78"/>
      <c r="BL10" s="78"/>
      <c r="BM10" s="78"/>
      <c r="BN10" s="78"/>
      <c r="BO10" s="78"/>
      <c r="BP10" s="78"/>
      <c r="BQ10" s="78"/>
      <c r="BR10" s="78"/>
      <c r="BS10" s="78"/>
      <c r="BT10" s="81"/>
      <c r="BU10" s="38"/>
      <c r="BV10" s="39"/>
    </row>
    <row r="11" spans="1:74" ht="23.1" customHeight="1">
      <c r="B11" s="150" t="s">
        <v>88</v>
      </c>
      <c r="C11" t="s">
        <v>138</v>
      </c>
      <c r="D11" s="152" t="s">
        <v>119</v>
      </c>
      <c r="E11" s="153">
        <v>4</v>
      </c>
      <c r="F11" s="154">
        <v>4</v>
      </c>
      <c r="G11" s="155">
        <f>E11-F11</f>
        <v>0</v>
      </c>
      <c r="H11" s="156"/>
      <c r="I11" s="211"/>
      <c r="J11" s="211"/>
      <c r="K11" s="213"/>
      <c r="L11" s="201">
        <f t="shared" si="0"/>
        <v>1</v>
      </c>
      <c r="M11" s="77"/>
      <c r="N11" s="78"/>
      <c r="O11" s="78"/>
      <c r="P11" s="78"/>
      <c r="Q11" s="79"/>
      <c r="R11" s="79"/>
      <c r="S11" s="79"/>
      <c r="T11" s="79"/>
      <c r="U11" s="80"/>
      <c r="V11" s="80"/>
      <c r="W11" s="78"/>
      <c r="X11" s="78"/>
      <c r="Y11" s="78"/>
      <c r="Z11" s="78"/>
      <c r="AA11" s="81"/>
      <c r="AB11" s="77"/>
      <c r="AC11" s="78"/>
      <c r="AD11" s="78"/>
      <c r="AE11" s="78"/>
      <c r="AF11" s="78"/>
      <c r="AG11" s="82"/>
      <c r="AH11" s="82"/>
      <c r="AI11" s="82"/>
      <c r="AJ11" s="82"/>
      <c r="AK11" s="82"/>
      <c r="AL11" s="78"/>
      <c r="AM11" s="78"/>
      <c r="AN11" s="78"/>
      <c r="AO11" s="78"/>
      <c r="AP11" s="81"/>
      <c r="AQ11" s="77"/>
      <c r="AR11" s="78"/>
      <c r="AS11" s="78"/>
      <c r="AT11" s="78"/>
      <c r="AU11" s="78"/>
      <c r="AV11" s="83"/>
      <c r="AW11" s="83"/>
      <c r="AX11" s="83"/>
      <c r="AY11" s="83"/>
      <c r="AZ11" s="83"/>
      <c r="BA11" s="78"/>
      <c r="BB11" s="78"/>
      <c r="BC11" s="78"/>
      <c r="BD11" s="78"/>
      <c r="BE11" s="81"/>
      <c r="BF11" s="77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81"/>
      <c r="BU11" s="38"/>
      <c r="BV11" s="39"/>
    </row>
    <row r="12" spans="1:74" ht="23.1" customHeight="1">
      <c r="B12" s="150" t="s">
        <v>89</v>
      </c>
      <c r="C12" t="s">
        <v>139</v>
      </c>
      <c r="D12" s="152" t="s">
        <v>119</v>
      </c>
      <c r="E12" s="153">
        <v>8</v>
      </c>
      <c r="F12" s="154">
        <v>8</v>
      </c>
      <c r="G12" s="155">
        <f>E12-F12</f>
        <v>0</v>
      </c>
      <c r="H12" s="163"/>
      <c r="I12" s="211"/>
      <c r="J12" s="211"/>
      <c r="K12" s="213"/>
      <c r="L12" s="201">
        <f t="shared" si="0"/>
        <v>1</v>
      </c>
      <c r="M12" s="77"/>
      <c r="N12" s="78"/>
      <c r="O12" s="78"/>
      <c r="P12" s="78"/>
      <c r="Q12" s="78"/>
      <c r="R12" s="80"/>
      <c r="S12" s="80"/>
      <c r="T12" s="79"/>
      <c r="U12" s="79"/>
      <c r="V12" s="80"/>
      <c r="W12" s="78"/>
      <c r="X12" s="78"/>
      <c r="Y12" s="78"/>
      <c r="Z12" s="78"/>
      <c r="AA12" s="81"/>
      <c r="AB12" s="77"/>
      <c r="AC12" s="78"/>
      <c r="AD12" s="78"/>
      <c r="AE12" s="78"/>
      <c r="AF12" s="78"/>
      <c r="AG12" s="82"/>
      <c r="AH12" s="82"/>
      <c r="AI12" s="82"/>
      <c r="AJ12" s="82"/>
      <c r="AK12" s="82"/>
      <c r="AL12" s="78"/>
      <c r="AM12" s="78"/>
      <c r="AN12" s="78"/>
      <c r="AO12" s="78"/>
      <c r="AP12" s="81"/>
      <c r="AQ12" s="77"/>
      <c r="AR12" s="78"/>
      <c r="AS12" s="78"/>
      <c r="AT12" s="78"/>
      <c r="AU12" s="78"/>
      <c r="AV12" s="83"/>
      <c r="AW12" s="83"/>
      <c r="AX12" s="83"/>
      <c r="AY12" s="83"/>
      <c r="AZ12" s="83"/>
      <c r="BA12" s="78"/>
      <c r="BB12" s="78"/>
      <c r="BC12" s="78"/>
      <c r="BD12" s="78"/>
      <c r="BE12" s="81"/>
      <c r="BF12" s="77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81"/>
      <c r="BU12" s="38"/>
      <c r="BV12" s="39"/>
    </row>
    <row r="13" spans="1:74" ht="23.1" customHeight="1">
      <c r="B13" s="150" t="s">
        <v>90</v>
      </c>
      <c r="C13" t="s">
        <v>140</v>
      </c>
      <c r="D13" s="152" t="s">
        <v>119</v>
      </c>
      <c r="E13" s="153">
        <v>4</v>
      </c>
      <c r="F13" s="154">
        <v>4</v>
      </c>
      <c r="G13" s="155">
        <f>E13-F13</f>
        <v>0</v>
      </c>
      <c r="H13" s="156"/>
      <c r="I13" s="211"/>
      <c r="J13" s="211"/>
      <c r="K13" s="213"/>
      <c r="L13" s="201">
        <f t="shared" si="0"/>
        <v>1</v>
      </c>
      <c r="M13" s="77"/>
      <c r="N13" s="78"/>
      <c r="O13" s="78"/>
      <c r="P13" s="78"/>
      <c r="Q13" s="78"/>
      <c r="R13" s="80"/>
      <c r="S13" s="80"/>
      <c r="T13" s="79"/>
      <c r="U13" s="79"/>
      <c r="V13" s="79"/>
      <c r="W13" s="79"/>
      <c r="X13" s="79"/>
      <c r="Y13" s="79"/>
      <c r="Z13" s="79"/>
      <c r="AA13" s="81"/>
      <c r="AB13" s="77"/>
      <c r="AC13" s="78"/>
      <c r="AD13" s="78"/>
      <c r="AE13" s="78"/>
      <c r="AF13" s="78"/>
      <c r="AG13" s="82"/>
      <c r="AH13" s="82"/>
      <c r="AI13" s="82"/>
      <c r="AJ13" s="82"/>
      <c r="AK13" s="82"/>
      <c r="AL13" s="78"/>
      <c r="AM13" s="78"/>
      <c r="AN13" s="78"/>
      <c r="AO13" s="78"/>
      <c r="AP13" s="81"/>
      <c r="AQ13" s="77"/>
      <c r="AR13" s="78"/>
      <c r="AS13" s="78"/>
      <c r="AT13" s="78"/>
      <c r="AU13" s="78"/>
      <c r="AV13" s="83"/>
      <c r="AW13" s="83"/>
      <c r="AX13" s="83"/>
      <c r="AY13" s="83"/>
      <c r="AZ13" s="83"/>
      <c r="BA13" s="78"/>
      <c r="BB13" s="78"/>
      <c r="BC13" s="78"/>
      <c r="BD13" s="78"/>
      <c r="BE13" s="81"/>
      <c r="BF13" s="77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81"/>
      <c r="BU13" s="38"/>
      <c r="BV13" s="39"/>
    </row>
    <row r="14" spans="1:74" ht="23.1" customHeight="1">
      <c r="B14" s="194" t="s">
        <v>92</v>
      </c>
      <c r="C14" s="195" t="s">
        <v>133</v>
      </c>
      <c r="D14" s="196"/>
      <c r="E14" s="197">
        <f>SUM(E15:E17)</f>
        <v>8</v>
      </c>
      <c r="F14" s="198">
        <f>SUM(F15:F17)</f>
        <v>8</v>
      </c>
      <c r="G14" s="199">
        <f>SUM(G15:G17)</f>
        <v>0</v>
      </c>
      <c r="H14" s="200"/>
      <c r="I14" s="206">
        <v>45927</v>
      </c>
      <c r="J14" s="206">
        <v>45933</v>
      </c>
      <c r="K14" s="207">
        <f>J14-I14+1</f>
        <v>7</v>
      </c>
      <c r="L14" s="201">
        <f t="shared" si="0"/>
        <v>1</v>
      </c>
      <c r="M14" s="73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5"/>
      <c r="AB14" s="73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5"/>
      <c r="AQ14" s="73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5"/>
      <c r="BF14" s="73"/>
      <c r="BG14" s="74"/>
      <c r="BH14" s="74"/>
      <c r="BI14" s="74"/>
      <c r="BJ14" s="74"/>
      <c r="BK14" s="78"/>
      <c r="BL14" s="78"/>
      <c r="BM14" s="78"/>
      <c r="BN14" s="78"/>
      <c r="BO14" s="78"/>
      <c r="BP14" s="78"/>
      <c r="BQ14" s="78"/>
      <c r="BR14" s="78"/>
      <c r="BS14" s="78"/>
      <c r="BT14" s="81"/>
      <c r="BU14" s="38"/>
      <c r="BV14" s="39"/>
    </row>
    <row r="15" spans="1:74" ht="23.1" customHeight="1">
      <c r="B15" s="150">
        <v>2.1</v>
      </c>
      <c r="C15" t="s">
        <v>141</v>
      </c>
      <c r="D15" s="152" t="s">
        <v>119</v>
      </c>
      <c r="E15" s="153">
        <v>1</v>
      </c>
      <c r="F15" s="154">
        <v>1</v>
      </c>
      <c r="G15" s="155">
        <f>E15-F15</f>
        <v>0</v>
      </c>
      <c r="H15" s="156"/>
      <c r="I15" s="187"/>
      <c r="J15" s="187"/>
      <c r="K15" s="213"/>
      <c r="L15" s="201">
        <f t="shared" si="0"/>
        <v>1</v>
      </c>
      <c r="M15" s="77"/>
      <c r="N15" s="78"/>
      <c r="O15" s="78"/>
      <c r="P15" s="78"/>
      <c r="Q15" s="78"/>
      <c r="R15" s="80"/>
      <c r="S15" s="80"/>
      <c r="T15" s="80"/>
      <c r="U15" s="80"/>
      <c r="V15" s="80"/>
      <c r="W15" s="78"/>
      <c r="X15" s="78"/>
      <c r="Y15" s="78"/>
      <c r="Z15" s="78"/>
      <c r="AA15" s="81"/>
      <c r="AB15" s="84"/>
      <c r="AC15" s="85"/>
      <c r="AD15" s="85"/>
      <c r="AE15" s="85"/>
      <c r="AF15" s="85"/>
      <c r="AG15" s="82"/>
      <c r="AH15" s="82"/>
      <c r="AI15" s="82"/>
      <c r="AJ15" s="82"/>
      <c r="AK15" s="82"/>
      <c r="AL15" s="78"/>
      <c r="AM15" s="78"/>
      <c r="AN15" s="78"/>
      <c r="AO15" s="78"/>
      <c r="AP15" s="81"/>
      <c r="AQ15" s="77"/>
      <c r="AR15" s="78"/>
      <c r="AS15" s="78"/>
      <c r="AT15" s="78"/>
      <c r="AU15" s="78"/>
      <c r="AV15" s="83"/>
      <c r="AW15" s="83"/>
      <c r="AX15" s="83"/>
      <c r="AY15" s="83"/>
      <c r="AZ15" s="83"/>
      <c r="BA15" s="78"/>
      <c r="BB15" s="78"/>
      <c r="BC15" s="78"/>
      <c r="BD15" s="78"/>
      <c r="BE15" s="81"/>
      <c r="BF15" s="77"/>
      <c r="BG15" s="78"/>
      <c r="BH15" s="78"/>
      <c r="BI15" s="78"/>
      <c r="BJ15" s="78"/>
      <c r="BK15" s="78"/>
      <c r="BL15" s="78"/>
      <c r="BM15" s="78"/>
      <c r="BN15" s="78"/>
      <c r="BO15" s="78"/>
      <c r="BP15" s="78"/>
      <c r="BQ15" s="78"/>
      <c r="BR15" s="78"/>
      <c r="BS15" s="78"/>
      <c r="BT15" s="81"/>
      <c r="BU15" s="38"/>
      <c r="BV15" s="39"/>
    </row>
    <row r="16" spans="1:74" ht="23.1" customHeight="1">
      <c r="B16" s="150">
        <v>2.2000000000000002</v>
      </c>
      <c r="C16" t="s">
        <v>142</v>
      </c>
      <c r="D16" s="152" t="s">
        <v>119</v>
      </c>
      <c r="E16" s="153">
        <v>1</v>
      </c>
      <c r="F16" s="154">
        <v>1</v>
      </c>
      <c r="G16" s="155">
        <f>E16-F16</f>
        <v>0</v>
      </c>
      <c r="H16" s="156"/>
      <c r="I16" s="187"/>
      <c r="J16" s="187"/>
      <c r="K16" s="213"/>
      <c r="L16" s="201">
        <f t="shared" si="0"/>
        <v>1</v>
      </c>
      <c r="M16" s="77"/>
      <c r="N16" s="78"/>
      <c r="O16" s="78"/>
      <c r="P16" s="78"/>
      <c r="Q16" s="78"/>
      <c r="R16" s="80"/>
      <c r="S16" s="80"/>
      <c r="T16" s="80"/>
      <c r="U16" s="80"/>
      <c r="V16" s="80"/>
      <c r="W16" s="78"/>
      <c r="X16" s="78"/>
      <c r="Y16" s="78"/>
      <c r="Z16" s="78"/>
      <c r="AA16" s="81"/>
      <c r="AB16" s="77"/>
      <c r="AC16" s="78"/>
      <c r="AD16" s="78"/>
      <c r="AE16" s="78"/>
      <c r="AF16" s="78"/>
      <c r="AG16" s="85"/>
      <c r="AH16" s="85"/>
      <c r="AI16" s="85"/>
      <c r="AJ16" s="85"/>
      <c r="AK16" s="85"/>
      <c r="AL16" s="78"/>
      <c r="AM16" s="78"/>
      <c r="AN16" s="78"/>
      <c r="AO16" s="78"/>
      <c r="AP16" s="81"/>
      <c r="AQ16" s="77"/>
      <c r="AR16" s="78"/>
      <c r="AS16" s="78"/>
      <c r="AT16" s="78"/>
      <c r="AU16" s="78"/>
      <c r="AV16" s="83"/>
      <c r="AW16" s="83"/>
      <c r="AX16" s="83"/>
      <c r="AY16" s="83"/>
      <c r="AZ16" s="83"/>
      <c r="BA16" s="78"/>
      <c r="BB16" s="78"/>
      <c r="BC16" s="78"/>
      <c r="BD16" s="78"/>
      <c r="BE16" s="81"/>
      <c r="BF16" s="77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81"/>
      <c r="BU16" s="38"/>
      <c r="BV16" s="39"/>
    </row>
    <row r="17" spans="2:74" ht="23.1" customHeight="1">
      <c r="B17" s="150">
        <v>2.2999999999999998</v>
      </c>
      <c r="C17" t="s">
        <v>143</v>
      </c>
      <c r="D17" s="152" t="s">
        <v>119</v>
      </c>
      <c r="E17" s="153">
        <v>6</v>
      </c>
      <c r="F17" s="154">
        <v>6</v>
      </c>
      <c r="G17" s="155">
        <f>E17-F17</f>
        <v>0</v>
      </c>
      <c r="H17" s="156"/>
      <c r="I17" s="187"/>
      <c r="J17" s="187"/>
      <c r="K17" s="213"/>
      <c r="L17" s="201">
        <f t="shared" si="0"/>
        <v>1</v>
      </c>
      <c r="M17" s="77"/>
      <c r="N17" s="78"/>
      <c r="O17" s="78"/>
      <c r="P17" s="78"/>
      <c r="Q17" s="78"/>
      <c r="R17" s="80"/>
      <c r="S17" s="80"/>
      <c r="T17" s="80"/>
      <c r="U17" s="80"/>
      <c r="V17" s="80"/>
      <c r="W17" s="78"/>
      <c r="X17" s="78"/>
      <c r="Y17" s="78"/>
      <c r="Z17" s="78"/>
      <c r="AA17" s="81"/>
      <c r="AB17" s="77"/>
      <c r="AC17" s="78"/>
      <c r="AD17" s="78"/>
      <c r="AE17" s="78"/>
      <c r="AF17" s="78"/>
      <c r="AG17" s="82"/>
      <c r="AH17" s="82"/>
      <c r="AI17" s="82"/>
      <c r="AJ17" s="82"/>
      <c r="AK17" s="82"/>
      <c r="AL17" s="78"/>
      <c r="AM17" s="78"/>
      <c r="AN17" s="78"/>
      <c r="AO17" s="78"/>
      <c r="AP17" s="81"/>
      <c r="AQ17" s="77"/>
      <c r="AR17" s="78"/>
      <c r="AS17" s="78"/>
      <c r="AT17" s="78"/>
      <c r="AU17" s="78"/>
      <c r="AV17" s="83"/>
      <c r="AW17" s="83"/>
      <c r="AX17" s="83"/>
      <c r="AY17" s="83"/>
      <c r="AZ17" s="83"/>
      <c r="BA17" s="78"/>
      <c r="BB17" s="78"/>
      <c r="BC17" s="78"/>
      <c r="BD17" s="78"/>
      <c r="BE17" s="81"/>
      <c r="BF17" s="77"/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81"/>
      <c r="BU17" s="38"/>
      <c r="BV17" s="39"/>
    </row>
    <row r="18" spans="2:74" ht="23.1" customHeight="1">
      <c r="B18" s="194">
        <v>3</v>
      </c>
      <c r="C18" s="195" t="s">
        <v>134</v>
      </c>
      <c r="D18" s="196"/>
      <c r="E18" s="197">
        <f>SUM(E19:E21)</f>
        <v>8</v>
      </c>
      <c r="F18" s="198">
        <f>SUM(F19:F21)</f>
        <v>8</v>
      </c>
      <c r="G18" s="199">
        <f>SUM(G19:G21)</f>
        <v>0</v>
      </c>
      <c r="H18" s="200"/>
      <c r="I18" s="206">
        <v>45927</v>
      </c>
      <c r="J18" s="206">
        <v>45933</v>
      </c>
      <c r="K18" s="207">
        <f>J18-I18+1</f>
        <v>7</v>
      </c>
      <c r="L18" s="201">
        <f t="shared" si="0"/>
        <v>1</v>
      </c>
      <c r="M18" s="73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5"/>
      <c r="AB18" s="73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5"/>
      <c r="AQ18" s="73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5"/>
      <c r="BF18" s="73"/>
      <c r="BG18" s="74"/>
      <c r="BH18" s="74"/>
      <c r="BI18" s="74"/>
      <c r="BJ18" s="74"/>
      <c r="BK18" s="78"/>
      <c r="BL18" s="78"/>
      <c r="BM18" s="78"/>
      <c r="BN18" s="78"/>
      <c r="BO18" s="78"/>
      <c r="BP18" s="78"/>
      <c r="BQ18" s="78"/>
      <c r="BR18" s="78"/>
      <c r="BS18" s="78"/>
      <c r="BT18" s="81"/>
      <c r="BU18" s="38"/>
      <c r="BV18" s="39"/>
    </row>
    <row r="19" spans="2:74" ht="23.1" customHeight="1">
      <c r="B19" s="150">
        <v>3.1</v>
      </c>
      <c r="C19" s="230" t="s">
        <v>145</v>
      </c>
      <c r="D19" s="152" t="s">
        <v>129</v>
      </c>
      <c r="E19" s="153">
        <v>2</v>
      </c>
      <c r="F19" s="154">
        <v>2</v>
      </c>
      <c r="G19" s="155">
        <f>E19-F19</f>
        <v>0</v>
      </c>
      <c r="H19" s="156"/>
      <c r="I19" s="157"/>
      <c r="J19" s="158"/>
      <c r="K19" s="213"/>
      <c r="L19" s="201">
        <f t="shared" si="0"/>
        <v>1</v>
      </c>
      <c r="M19" s="77"/>
      <c r="N19" s="78"/>
      <c r="O19" s="78"/>
      <c r="P19" s="78"/>
      <c r="Q19" s="78"/>
      <c r="R19" s="80"/>
      <c r="S19" s="80"/>
      <c r="T19" s="80"/>
      <c r="U19" s="80"/>
      <c r="V19" s="80"/>
      <c r="W19" s="78"/>
      <c r="X19" s="78"/>
      <c r="Y19" s="78"/>
      <c r="Z19" s="78"/>
      <c r="AA19" s="81"/>
      <c r="AB19" s="77"/>
      <c r="AC19" s="78"/>
      <c r="AD19" s="78"/>
      <c r="AE19" s="78"/>
      <c r="AF19" s="78"/>
      <c r="AG19" s="82"/>
      <c r="AH19" s="82"/>
      <c r="AI19" s="82"/>
      <c r="AJ19" s="82"/>
      <c r="AK19" s="82"/>
      <c r="AL19" s="78"/>
      <c r="AM19" s="78"/>
      <c r="AN19" s="78"/>
      <c r="AO19" s="78"/>
      <c r="AP19" s="81"/>
      <c r="AQ19" s="77"/>
      <c r="AR19" s="78"/>
      <c r="AS19" s="78"/>
      <c r="AT19" s="78"/>
      <c r="AU19" s="78"/>
      <c r="AV19" s="83"/>
      <c r="AW19" s="83"/>
      <c r="AX19" s="83"/>
      <c r="AY19" s="83"/>
      <c r="AZ19" s="83"/>
      <c r="BA19" s="78"/>
      <c r="BB19" s="78"/>
      <c r="BC19" s="78"/>
      <c r="BD19" s="78"/>
      <c r="BE19" s="81"/>
      <c r="BF19" s="77"/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81"/>
      <c r="BU19" s="38"/>
      <c r="BV19" s="39"/>
    </row>
    <row r="20" spans="2:74" ht="23.1" customHeight="1">
      <c r="B20" s="150">
        <v>3.2</v>
      </c>
      <c r="C20" s="230" t="s">
        <v>146</v>
      </c>
      <c r="D20" s="152" t="s">
        <v>129</v>
      </c>
      <c r="E20" s="153">
        <v>2</v>
      </c>
      <c r="F20" s="154">
        <v>2</v>
      </c>
      <c r="G20" s="155">
        <f>E20-F20</f>
        <v>0</v>
      </c>
      <c r="H20" s="156"/>
      <c r="I20" s="157"/>
      <c r="J20" s="158"/>
      <c r="K20" s="213"/>
      <c r="L20" s="201">
        <f t="shared" si="0"/>
        <v>1</v>
      </c>
      <c r="M20" s="77"/>
      <c r="N20" s="78"/>
      <c r="O20" s="78"/>
      <c r="P20" s="78"/>
      <c r="Q20" s="78"/>
      <c r="R20" s="80"/>
      <c r="S20" s="80"/>
      <c r="T20" s="80"/>
      <c r="U20" s="80"/>
      <c r="V20" s="80"/>
      <c r="W20" s="78"/>
      <c r="X20" s="78"/>
      <c r="Y20" s="78"/>
      <c r="Z20" s="78"/>
      <c r="AA20" s="81"/>
      <c r="AB20" s="77"/>
      <c r="AC20" s="78"/>
      <c r="AD20" s="78"/>
      <c r="AE20" s="78"/>
      <c r="AF20" s="78"/>
      <c r="AG20" s="82"/>
      <c r="AH20" s="82"/>
      <c r="AI20" s="82"/>
      <c r="AJ20" s="82"/>
      <c r="AK20" s="82"/>
      <c r="AL20" s="78"/>
      <c r="AM20" s="78"/>
      <c r="AN20" s="78"/>
      <c r="AO20" s="78"/>
      <c r="AP20" s="81"/>
      <c r="AQ20" s="77"/>
      <c r="AR20" s="78"/>
      <c r="AS20" s="78"/>
      <c r="AT20" s="78"/>
      <c r="AU20" s="78"/>
      <c r="AV20" s="83"/>
      <c r="AW20" s="83"/>
      <c r="AX20" s="83"/>
      <c r="AY20" s="83"/>
      <c r="AZ20" s="83"/>
      <c r="BA20" s="78"/>
      <c r="BB20" s="78"/>
      <c r="BC20" s="78"/>
      <c r="BD20" s="78"/>
      <c r="BE20" s="81"/>
      <c r="BF20" s="77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81"/>
      <c r="BU20" s="38"/>
      <c r="BV20" s="39"/>
    </row>
    <row r="21" spans="2:74" ht="23.1" customHeight="1">
      <c r="B21" s="150" t="s">
        <v>147</v>
      </c>
      <c r="C21" t="s">
        <v>144</v>
      </c>
      <c r="D21" s="152" t="s">
        <v>129</v>
      </c>
      <c r="E21" s="153">
        <v>4</v>
      </c>
      <c r="F21" s="154">
        <v>4</v>
      </c>
      <c r="G21" s="155">
        <f>E21-F21</f>
        <v>0</v>
      </c>
      <c r="H21" s="163"/>
      <c r="I21" s="157"/>
      <c r="J21" s="158"/>
      <c r="K21" s="213"/>
      <c r="L21" s="201">
        <f t="shared" si="0"/>
        <v>1</v>
      </c>
      <c r="M21" s="77"/>
      <c r="N21" s="78"/>
      <c r="O21" s="78"/>
      <c r="P21" s="78"/>
      <c r="Q21" s="78"/>
      <c r="R21" s="80"/>
      <c r="S21" s="80"/>
      <c r="T21" s="80"/>
      <c r="U21" s="80"/>
      <c r="V21" s="80"/>
      <c r="W21" s="78"/>
      <c r="X21" s="78"/>
      <c r="Y21" s="78"/>
      <c r="Z21" s="78"/>
      <c r="AA21" s="81"/>
      <c r="AB21" s="77"/>
      <c r="AC21" s="78"/>
      <c r="AD21" s="78"/>
      <c r="AE21" s="78"/>
      <c r="AF21" s="78"/>
      <c r="AG21" s="82"/>
      <c r="AH21" s="82"/>
      <c r="AI21" s="82"/>
      <c r="AJ21" s="82"/>
      <c r="AK21" s="82"/>
      <c r="AL21" s="78"/>
      <c r="AM21" s="78"/>
      <c r="AN21" s="78"/>
      <c r="AO21" s="78"/>
      <c r="AP21" s="81"/>
      <c r="AQ21" s="77"/>
      <c r="AR21" s="78"/>
      <c r="AS21" s="78"/>
      <c r="AT21" s="78"/>
      <c r="AU21" s="78"/>
      <c r="AV21" s="83"/>
      <c r="AW21" s="83"/>
      <c r="AX21" s="83"/>
      <c r="AY21" s="83"/>
      <c r="AZ21" s="83"/>
      <c r="BA21" s="78"/>
      <c r="BB21" s="78"/>
      <c r="BC21" s="78"/>
      <c r="BD21" s="78"/>
      <c r="BE21" s="81"/>
      <c r="BF21" s="77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81"/>
      <c r="BU21" s="38"/>
      <c r="BV21" s="39"/>
    </row>
    <row r="22" spans="2:74" ht="23.1" customHeight="1">
      <c r="B22" s="194" t="s">
        <v>73</v>
      </c>
      <c r="C22" s="195" t="s">
        <v>135</v>
      </c>
      <c r="D22" s="196"/>
      <c r="E22" s="197">
        <f>SUM(E23:E25)</f>
        <v>12</v>
      </c>
      <c r="F22" s="198">
        <f>SUM(F23:F25)</f>
        <v>12</v>
      </c>
      <c r="G22" s="199">
        <f>SUM(G23:G25)</f>
        <v>0</v>
      </c>
      <c r="H22" s="200"/>
      <c r="I22" s="206">
        <v>45927</v>
      </c>
      <c r="J22" s="206">
        <v>45933</v>
      </c>
      <c r="K22" s="207">
        <f>J22-I22+1</f>
        <v>7</v>
      </c>
      <c r="L22" s="201">
        <f t="shared" si="0"/>
        <v>1</v>
      </c>
      <c r="M22" s="73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5"/>
      <c r="AB22" s="73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5"/>
      <c r="AQ22" s="73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5"/>
      <c r="BF22" s="73"/>
      <c r="BG22" s="74"/>
      <c r="BH22" s="74"/>
      <c r="BI22" s="74"/>
      <c r="BJ22" s="74"/>
      <c r="BK22" s="78"/>
      <c r="BL22" s="78"/>
      <c r="BM22" s="78"/>
      <c r="BN22" s="78"/>
      <c r="BO22" s="78"/>
      <c r="BP22" s="78"/>
      <c r="BQ22" s="78"/>
      <c r="BR22" s="78"/>
      <c r="BS22" s="78"/>
      <c r="BT22" s="81"/>
      <c r="BU22" s="38"/>
      <c r="BV22" s="39"/>
    </row>
    <row r="23" spans="2:74" ht="23.1" customHeight="1">
      <c r="B23" s="150" t="s">
        <v>93</v>
      </c>
      <c r="C23" t="s">
        <v>148</v>
      </c>
      <c r="D23" s="152" t="s">
        <v>129</v>
      </c>
      <c r="E23" s="153">
        <v>3</v>
      </c>
      <c r="F23" s="154">
        <v>3</v>
      </c>
      <c r="G23" s="155">
        <f>E23-F23</f>
        <v>0</v>
      </c>
      <c r="H23" s="156"/>
      <c r="I23" s="157"/>
      <c r="J23" s="158"/>
      <c r="K23" s="213"/>
      <c r="L23" s="201">
        <f t="shared" si="0"/>
        <v>1</v>
      </c>
      <c r="M23" s="77"/>
      <c r="N23" s="78"/>
      <c r="O23" s="78"/>
      <c r="P23" s="78"/>
      <c r="Q23" s="78"/>
      <c r="R23" s="80"/>
      <c r="S23" s="80"/>
      <c r="T23" s="80"/>
      <c r="U23" s="80"/>
      <c r="V23" s="80"/>
      <c r="W23" s="78"/>
      <c r="X23" s="78"/>
      <c r="Y23" s="78"/>
      <c r="Z23" s="78"/>
      <c r="AA23" s="81"/>
      <c r="AB23" s="77"/>
      <c r="AC23" s="78"/>
      <c r="AD23" s="78"/>
      <c r="AE23" s="78"/>
      <c r="AF23" s="78"/>
      <c r="AG23" s="82"/>
      <c r="AH23" s="82"/>
      <c r="AI23" s="82"/>
      <c r="AJ23" s="82"/>
      <c r="AK23" s="82"/>
      <c r="AL23" s="78"/>
      <c r="AM23" s="78"/>
      <c r="AN23" s="78"/>
      <c r="AO23" s="78"/>
      <c r="AP23" s="81"/>
      <c r="AQ23" s="77"/>
      <c r="AR23" s="78"/>
      <c r="AS23" s="78"/>
      <c r="AT23" s="78"/>
      <c r="AU23" s="78"/>
      <c r="AV23" s="83"/>
      <c r="AW23" s="83"/>
      <c r="AX23" s="83"/>
      <c r="AY23" s="83"/>
      <c r="AZ23" s="83"/>
      <c r="BA23" s="78"/>
      <c r="BB23" s="78"/>
      <c r="BC23" s="78"/>
      <c r="BD23" s="78"/>
      <c r="BE23" s="81"/>
      <c r="BF23" s="77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81"/>
      <c r="BU23" s="38"/>
      <c r="BV23" s="39"/>
    </row>
    <row r="24" spans="2:74" ht="23.1" customHeight="1">
      <c r="B24" s="150" t="s">
        <v>94</v>
      </c>
      <c r="C24" t="s">
        <v>149</v>
      </c>
      <c r="D24" s="152" t="s">
        <v>129</v>
      </c>
      <c r="E24" s="153">
        <v>3</v>
      </c>
      <c r="F24" s="154">
        <v>3</v>
      </c>
      <c r="G24" s="155">
        <f>E24-F24</f>
        <v>0</v>
      </c>
      <c r="H24" s="156"/>
      <c r="I24" s="157"/>
      <c r="J24" s="158"/>
      <c r="K24" s="213"/>
      <c r="L24" s="201">
        <f t="shared" si="0"/>
        <v>1</v>
      </c>
      <c r="M24" s="77"/>
      <c r="N24" s="78"/>
      <c r="O24" s="78"/>
      <c r="P24" s="78"/>
      <c r="Q24" s="78"/>
      <c r="R24" s="80"/>
      <c r="S24" s="80"/>
      <c r="T24" s="80"/>
      <c r="U24" s="80"/>
      <c r="V24" s="80"/>
      <c r="W24" s="78"/>
      <c r="X24" s="78"/>
      <c r="Y24" s="78"/>
      <c r="Z24" s="78"/>
      <c r="AA24" s="81"/>
      <c r="AB24" s="77"/>
      <c r="AC24" s="78"/>
      <c r="AD24" s="78"/>
      <c r="AE24" s="78"/>
      <c r="AF24" s="78"/>
      <c r="AG24" s="82"/>
      <c r="AH24" s="82"/>
      <c r="AI24" s="82"/>
      <c r="AJ24" s="82"/>
      <c r="AK24" s="82"/>
      <c r="AL24" s="78"/>
      <c r="AM24" s="78"/>
      <c r="AN24" s="78"/>
      <c r="AO24" s="78"/>
      <c r="AP24" s="81"/>
      <c r="AQ24" s="77"/>
      <c r="AR24" s="78"/>
      <c r="AS24" s="78"/>
      <c r="AT24" s="78"/>
      <c r="AU24" s="78"/>
      <c r="AV24" s="83"/>
      <c r="AW24" s="83"/>
      <c r="AX24" s="83"/>
      <c r="AY24" s="83"/>
      <c r="AZ24" s="83"/>
      <c r="BA24" s="78"/>
      <c r="BB24" s="78"/>
      <c r="BC24" s="78"/>
      <c r="BD24" s="78"/>
      <c r="BE24" s="81"/>
      <c r="BF24" s="77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81"/>
      <c r="BU24" s="38"/>
      <c r="BV24" s="39"/>
    </row>
    <row r="25" spans="2:74" ht="23.1" customHeight="1">
      <c r="B25" s="150" t="s">
        <v>75</v>
      </c>
      <c r="C25" t="s">
        <v>150</v>
      </c>
      <c r="D25" s="152" t="s">
        <v>129</v>
      </c>
      <c r="E25" s="153">
        <v>6</v>
      </c>
      <c r="F25" s="154">
        <v>6</v>
      </c>
      <c r="G25" s="155">
        <f>E25-F25</f>
        <v>0</v>
      </c>
      <c r="H25" s="156"/>
      <c r="I25" s="157"/>
      <c r="J25" s="158"/>
      <c r="K25" s="213"/>
      <c r="L25" s="201">
        <f t="shared" si="0"/>
        <v>1</v>
      </c>
      <c r="M25" s="77"/>
      <c r="N25" s="78"/>
      <c r="O25" s="78"/>
      <c r="P25" s="78"/>
      <c r="Q25" s="78"/>
      <c r="R25" s="80"/>
      <c r="S25" s="80"/>
      <c r="T25" s="80"/>
      <c r="U25" s="80"/>
      <c r="V25" s="80"/>
      <c r="W25" s="78"/>
      <c r="X25" s="78"/>
      <c r="Y25" s="78"/>
      <c r="Z25" s="78"/>
      <c r="AA25" s="81"/>
      <c r="AB25" s="77"/>
      <c r="AC25" s="78"/>
      <c r="AD25" s="78"/>
      <c r="AE25" s="78"/>
      <c r="AF25" s="78"/>
      <c r="AG25" s="82"/>
      <c r="AH25" s="82"/>
      <c r="AI25" s="82"/>
      <c r="AJ25" s="82"/>
      <c r="AK25" s="82"/>
      <c r="AL25" s="78"/>
      <c r="AM25" s="78"/>
      <c r="AN25" s="78"/>
      <c r="AO25" s="78"/>
      <c r="AP25" s="81"/>
      <c r="AQ25" s="77"/>
      <c r="AR25" s="78"/>
      <c r="AS25" s="78"/>
      <c r="AT25" s="78"/>
      <c r="AU25" s="78"/>
      <c r="AV25" s="83"/>
      <c r="AW25" s="83"/>
      <c r="AX25" s="83"/>
      <c r="AY25" s="83"/>
      <c r="AZ25" s="83"/>
      <c r="BA25" s="78"/>
      <c r="BB25" s="78"/>
      <c r="BC25" s="78"/>
      <c r="BD25" s="78"/>
      <c r="BE25" s="81"/>
      <c r="BF25" s="77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81"/>
      <c r="BU25" s="38"/>
      <c r="BV25" s="39"/>
    </row>
    <row r="26" spans="2:74" ht="23.1" customHeight="1">
      <c r="B26" s="194" t="s">
        <v>76</v>
      </c>
      <c r="C26" s="195" t="s">
        <v>136</v>
      </c>
      <c r="D26" s="196"/>
      <c r="E26" s="197">
        <f>SUM(E27:E29)</f>
        <v>8</v>
      </c>
      <c r="F26" s="198">
        <f>SUM(F27:F29)</f>
        <v>8</v>
      </c>
      <c r="G26" s="199">
        <f>SUM(G27:G29)</f>
        <v>0</v>
      </c>
      <c r="H26" s="200"/>
      <c r="I26" s="206">
        <v>45927</v>
      </c>
      <c r="J26" s="206">
        <v>45933</v>
      </c>
      <c r="K26" s="207">
        <f>J26-I26+1</f>
        <v>7</v>
      </c>
      <c r="L26" s="201">
        <f t="shared" si="0"/>
        <v>1</v>
      </c>
      <c r="M26" s="73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5"/>
      <c r="AB26" s="73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5"/>
      <c r="AQ26" s="73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5"/>
      <c r="BF26" s="73"/>
      <c r="BG26" s="74"/>
      <c r="BH26" s="74"/>
      <c r="BI26" s="74"/>
      <c r="BJ26" s="74"/>
      <c r="BK26" s="191"/>
      <c r="BL26" s="191"/>
      <c r="BM26" s="191"/>
      <c r="BN26" s="191"/>
      <c r="BO26" s="191"/>
      <c r="BP26" s="191"/>
      <c r="BQ26" s="191"/>
      <c r="BR26" s="191"/>
      <c r="BS26" s="191"/>
      <c r="BT26" s="192"/>
      <c r="BU26" s="38"/>
      <c r="BV26" s="39"/>
    </row>
    <row r="27" spans="2:74" ht="23.1" customHeight="1">
      <c r="B27" s="150" t="s">
        <v>79</v>
      </c>
      <c r="C27" t="s">
        <v>151</v>
      </c>
      <c r="D27" s="152" t="s">
        <v>130</v>
      </c>
      <c r="E27" s="153">
        <v>3</v>
      </c>
      <c r="F27" s="154">
        <v>3</v>
      </c>
      <c r="G27" s="155">
        <f>E27-F27</f>
        <v>0</v>
      </c>
      <c r="H27" s="212"/>
      <c r="I27" s="157"/>
      <c r="J27" s="158"/>
      <c r="K27" s="213"/>
      <c r="L27" s="201">
        <f t="shared" si="0"/>
        <v>1</v>
      </c>
      <c r="M27" s="73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5"/>
      <c r="AB27" s="73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5"/>
      <c r="AQ27" s="73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5"/>
      <c r="BF27" s="73"/>
      <c r="BG27" s="74"/>
      <c r="BH27" s="74"/>
      <c r="BI27" s="74"/>
      <c r="BJ27" s="74"/>
      <c r="BK27" s="191"/>
      <c r="BL27" s="191"/>
      <c r="BM27" s="191"/>
      <c r="BN27" s="191"/>
      <c r="BO27" s="191"/>
      <c r="BP27" s="191"/>
      <c r="BQ27" s="191"/>
      <c r="BR27" s="191"/>
      <c r="BS27" s="191"/>
      <c r="BT27" s="192"/>
      <c r="BU27" s="38"/>
      <c r="BV27" s="39"/>
    </row>
    <row r="28" spans="2:74" ht="23.1" customHeight="1">
      <c r="B28" s="150" t="s">
        <v>80</v>
      </c>
      <c r="C28" t="s">
        <v>152</v>
      </c>
      <c r="D28" s="152" t="s">
        <v>130</v>
      </c>
      <c r="E28" s="153">
        <v>4</v>
      </c>
      <c r="F28" s="154">
        <v>4</v>
      </c>
      <c r="G28" s="155">
        <f>E28-F28</f>
        <v>0</v>
      </c>
      <c r="H28" s="212"/>
      <c r="I28" s="157"/>
      <c r="J28" s="158"/>
      <c r="K28" s="213"/>
      <c r="L28" s="201">
        <f t="shared" si="0"/>
        <v>1</v>
      </c>
      <c r="M28" s="73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5"/>
      <c r="AB28" s="73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5"/>
      <c r="AQ28" s="73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5"/>
      <c r="BF28" s="73"/>
      <c r="BG28" s="74"/>
      <c r="BH28" s="74"/>
      <c r="BI28" s="74"/>
      <c r="BJ28" s="74"/>
      <c r="BK28" s="191"/>
      <c r="BL28" s="191"/>
      <c r="BM28" s="191"/>
      <c r="BN28" s="191"/>
      <c r="BO28" s="191"/>
      <c r="BP28" s="191"/>
      <c r="BQ28" s="191"/>
      <c r="BR28" s="191"/>
      <c r="BS28" s="191"/>
      <c r="BT28" s="192"/>
      <c r="BU28" s="38"/>
      <c r="BV28" s="39"/>
    </row>
    <row r="29" spans="2:74" ht="23.1" customHeight="1">
      <c r="B29" s="150" t="s">
        <v>81</v>
      </c>
      <c r="C29" t="s">
        <v>153</v>
      </c>
      <c r="D29" s="152" t="s">
        <v>130</v>
      </c>
      <c r="E29" s="153">
        <v>1</v>
      </c>
      <c r="F29" s="154">
        <v>1</v>
      </c>
      <c r="G29" s="155">
        <f>E29-F29</f>
        <v>0</v>
      </c>
      <c r="H29" s="212"/>
      <c r="I29" s="157"/>
      <c r="J29" s="158"/>
      <c r="K29" s="213"/>
      <c r="L29" s="201">
        <f t="shared" si="0"/>
        <v>1</v>
      </c>
      <c r="M29" s="73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5"/>
      <c r="AB29" s="73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5"/>
      <c r="AQ29" s="73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5"/>
      <c r="BF29" s="73"/>
      <c r="BG29" s="74"/>
      <c r="BH29" s="74"/>
      <c r="BI29" s="74"/>
      <c r="BJ29" s="74"/>
      <c r="BK29" s="191"/>
      <c r="BL29" s="191"/>
      <c r="BM29" s="191"/>
      <c r="BN29" s="191"/>
      <c r="BO29" s="191"/>
      <c r="BP29" s="191"/>
      <c r="BQ29" s="191"/>
      <c r="BR29" s="191"/>
      <c r="BS29" s="191"/>
      <c r="BT29" s="192"/>
      <c r="BU29" s="38"/>
      <c r="BV29" s="39"/>
    </row>
    <row r="30" spans="2:74" ht="23.1" customHeight="1">
      <c r="B30" s="194" t="s">
        <v>78</v>
      </c>
      <c r="C30" s="195" t="s">
        <v>137</v>
      </c>
      <c r="D30" s="196"/>
      <c r="E30" s="197">
        <f>SUM(E31:E33)</f>
        <v>8</v>
      </c>
      <c r="F30" s="198">
        <f>SUM(F31:F33)</f>
        <v>8</v>
      </c>
      <c r="G30" s="199">
        <f>SUM(G31:G33)</f>
        <v>0</v>
      </c>
      <c r="H30" s="200"/>
      <c r="I30" s="206">
        <v>45927</v>
      </c>
      <c r="J30" s="206">
        <v>45933</v>
      </c>
      <c r="K30" s="207">
        <f>J30-I30+1</f>
        <v>7</v>
      </c>
      <c r="L30" s="201">
        <f t="shared" si="0"/>
        <v>1</v>
      </c>
      <c r="M30" s="73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5"/>
      <c r="AB30" s="73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5"/>
      <c r="AQ30" s="73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5"/>
      <c r="BF30" s="73"/>
      <c r="BG30" s="74"/>
      <c r="BH30" s="74"/>
      <c r="BI30" s="74"/>
      <c r="BJ30" s="74"/>
      <c r="BK30" s="191"/>
      <c r="BL30" s="191"/>
      <c r="BM30" s="191"/>
      <c r="BN30" s="191"/>
      <c r="BO30" s="191"/>
      <c r="BP30" s="191"/>
      <c r="BQ30" s="191"/>
      <c r="BR30" s="191"/>
      <c r="BS30" s="191"/>
      <c r="BT30" s="192"/>
      <c r="BU30" s="38"/>
      <c r="BV30" s="39"/>
    </row>
    <row r="31" spans="2:74" ht="23.1" customHeight="1">
      <c r="B31" s="150" t="s">
        <v>84</v>
      </c>
      <c r="C31" t="s">
        <v>154</v>
      </c>
      <c r="D31" s="152" t="s">
        <v>130</v>
      </c>
      <c r="E31" s="153">
        <v>4</v>
      </c>
      <c r="F31" s="154">
        <v>4</v>
      </c>
      <c r="G31" s="155">
        <f>E31-F31</f>
        <v>0</v>
      </c>
      <c r="H31" s="212"/>
      <c r="I31" s="157"/>
      <c r="J31" s="158"/>
      <c r="K31" s="213"/>
      <c r="L31" s="201">
        <f t="shared" si="0"/>
        <v>1</v>
      </c>
      <c r="M31" s="73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5"/>
      <c r="AB31" s="73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5"/>
      <c r="AQ31" s="73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5"/>
      <c r="BF31" s="73"/>
      <c r="BG31" s="74"/>
      <c r="BH31" s="74"/>
      <c r="BI31" s="74"/>
      <c r="BJ31" s="74"/>
      <c r="BK31" s="191"/>
      <c r="BL31" s="191"/>
      <c r="BM31" s="191"/>
      <c r="BN31" s="191"/>
      <c r="BO31" s="191"/>
      <c r="BP31" s="191"/>
      <c r="BQ31" s="191"/>
      <c r="BR31" s="191"/>
      <c r="BS31" s="191"/>
      <c r="BT31" s="192"/>
      <c r="BU31" s="38"/>
      <c r="BV31" s="39"/>
    </row>
    <row r="32" spans="2:74" ht="23.1" customHeight="1">
      <c r="B32" s="150" t="s">
        <v>85</v>
      </c>
      <c r="C32" t="s">
        <v>155</v>
      </c>
      <c r="D32" s="152" t="s">
        <v>130</v>
      </c>
      <c r="E32" s="153">
        <v>3</v>
      </c>
      <c r="F32" s="154">
        <v>3</v>
      </c>
      <c r="G32" s="155">
        <f>E32-F32</f>
        <v>0</v>
      </c>
      <c r="H32" s="212"/>
      <c r="I32" s="157"/>
      <c r="J32" s="158"/>
      <c r="K32" s="213"/>
      <c r="L32" s="201">
        <f t="shared" si="0"/>
        <v>1</v>
      </c>
      <c r="M32" s="73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5"/>
      <c r="AB32" s="73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5"/>
      <c r="AQ32" s="73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5"/>
      <c r="BF32" s="73"/>
      <c r="BG32" s="74"/>
      <c r="BH32" s="74"/>
      <c r="BI32" s="74"/>
      <c r="BJ32" s="74"/>
      <c r="BK32" s="191"/>
      <c r="BL32" s="191"/>
      <c r="BM32" s="191"/>
      <c r="BN32" s="191"/>
      <c r="BO32" s="191"/>
      <c r="BP32" s="191"/>
      <c r="BQ32" s="191"/>
      <c r="BR32" s="191"/>
      <c r="BS32" s="191"/>
      <c r="BT32" s="192"/>
      <c r="BU32" s="38"/>
      <c r="BV32" s="39"/>
    </row>
    <row r="33" spans="2:74" ht="23.1" customHeight="1">
      <c r="B33" s="150" t="s">
        <v>86</v>
      </c>
      <c r="C33" t="s">
        <v>156</v>
      </c>
      <c r="D33" s="152" t="s">
        <v>130</v>
      </c>
      <c r="E33" s="153">
        <v>1</v>
      </c>
      <c r="F33" s="154">
        <v>1</v>
      </c>
      <c r="G33" s="155">
        <f>E33-F33</f>
        <v>0</v>
      </c>
      <c r="H33" s="212"/>
      <c r="I33" s="157"/>
      <c r="J33" s="158"/>
      <c r="K33" s="213"/>
      <c r="L33" s="201">
        <f t="shared" si="0"/>
        <v>1</v>
      </c>
      <c r="M33" s="73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5"/>
      <c r="AB33" s="73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5"/>
      <c r="AQ33" s="73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5"/>
      <c r="BF33" s="73"/>
      <c r="BG33" s="74"/>
      <c r="BH33" s="74"/>
      <c r="BI33" s="74"/>
      <c r="BJ33" s="74"/>
      <c r="BK33" s="191"/>
      <c r="BL33" s="191"/>
      <c r="BM33" s="191"/>
      <c r="BN33" s="191"/>
      <c r="BO33" s="191"/>
      <c r="BP33" s="191"/>
      <c r="BQ33" s="191"/>
      <c r="BR33" s="191"/>
      <c r="BS33" s="191"/>
      <c r="BT33" s="192"/>
      <c r="BU33" s="38"/>
      <c r="BV33" s="39"/>
    </row>
    <row r="34" spans="2:74" ht="23.1" customHeight="1">
      <c r="B34" s="38"/>
      <c r="C34" s="38"/>
      <c r="D34" s="223"/>
      <c r="E34" s="224" t="s">
        <v>28</v>
      </c>
      <c r="F34" s="224" t="s">
        <v>29</v>
      </c>
      <c r="G34" s="224" t="s">
        <v>30</v>
      </c>
      <c r="H34" s="224" t="s">
        <v>41</v>
      </c>
      <c r="I34" s="224" t="s">
        <v>42</v>
      </c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9"/>
    </row>
    <row r="35" spans="2:74" ht="23.1" customHeight="1">
      <c r="B35" s="38"/>
      <c r="C35" s="36" t="s">
        <v>43</v>
      </c>
      <c r="D35" s="215" t="s">
        <v>44</v>
      </c>
      <c r="E35" s="216">
        <f>SUM(E11:E13,E15:E17,E19:E21,E23:E25,E27:E29,E31:E33)</f>
        <v>60</v>
      </c>
      <c r="F35" s="216">
        <f>SUM(F11:F13,F15:F17,F19:F21,F23:F25,F27:F29,F31:F33)</f>
        <v>60</v>
      </c>
      <c r="G35" s="216">
        <f>SUM(G11:G13,G15:G17,G19:G21,G23:G25,G27:G29,G31:G33)</f>
        <v>0</v>
      </c>
      <c r="H35" s="217">
        <v>7</v>
      </c>
      <c r="I35" s="218">
        <f>E35/H35</f>
        <v>8.5714285714285712</v>
      </c>
      <c r="J35" s="38"/>
      <c r="K35" s="38"/>
      <c r="L35" s="182" t="s">
        <v>45</v>
      </c>
      <c r="M35" s="95">
        <v>1</v>
      </c>
      <c r="N35" s="95">
        <v>2</v>
      </c>
      <c r="O35" s="95">
        <v>3</v>
      </c>
      <c r="P35" s="95">
        <v>4</v>
      </c>
      <c r="Q35" s="95">
        <v>5</v>
      </c>
      <c r="R35" s="95">
        <v>6</v>
      </c>
      <c r="S35" s="95">
        <v>7</v>
      </c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95"/>
      <c r="BB35" s="95"/>
      <c r="BC35" s="95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95"/>
      <c r="BQ35" s="95"/>
      <c r="BR35" s="95"/>
      <c r="BS35" s="95"/>
      <c r="BT35" s="95"/>
      <c r="BU35" s="38"/>
      <c r="BV35" s="137" t="s">
        <v>46</v>
      </c>
    </row>
    <row r="36" spans="2:74" ht="23.1" customHeight="1">
      <c r="B36" s="38"/>
      <c r="C36" s="38"/>
      <c r="D36" s="38"/>
      <c r="E36" s="38"/>
      <c r="F36" s="38"/>
      <c r="G36" s="38"/>
      <c r="H36" s="96" t="s">
        <v>47</v>
      </c>
      <c r="I36" s="38"/>
      <c r="J36" s="38"/>
      <c r="K36" s="38"/>
      <c r="L36" s="182" t="s">
        <v>48</v>
      </c>
      <c r="M36" s="97">
        <f>E35</f>
        <v>60</v>
      </c>
      <c r="N36" s="98">
        <f>M36-I35</f>
        <v>51.428571428571431</v>
      </c>
      <c r="O36" s="98">
        <f>N36-I35</f>
        <v>42.857142857142861</v>
      </c>
      <c r="P36" s="98">
        <f>O36-I35</f>
        <v>34.285714285714292</v>
      </c>
      <c r="Q36" s="98">
        <f>P36-I35</f>
        <v>25.714285714285722</v>
      </c>
      <c r="R36" s="98">
        <f>Q36-I35</f>
        <v>17.142857142857153</v>
      </c>
      <c r="S36" s="98">
        <f>R36-I35</f>
        <v>8.5714285714285818</v>
      </c>
      <c r="T36" s="98"/>
      <c r="U36" s="98"/>
      <c r="V36" s="98"/>
      <c r="W36" s="98"/>
      <c r="X36" s="98"/>
      <c r="Y36" s="98"/>
      <c r="Z36" s="98"/>
      <c r="AA36" s="98"/>
      <c r="AB36" s="98"/>
      <c r="AC36" s="98"/>
      <c r="AD36" s="98"/>
      <c r="AE36" s="98"/>
      <c r="AF36" s="98"/>
      <c r="AG36" s="98"/>
      <c r="AH36" s="98"/>
      <c r="AI36" s="98"/>
      <c r="AJ36" s="98"/>
      <c r="AK36" s="98"/>
      <c r="AL36" s="98"/>
      <c r="AM36" s="98"/>
      <c r="AN36" s="98"/>
      <c r="AO36" s="98"/>
      <c r="AP36" s="98"/>
      <c r="AQ36" s="98"/>
      <c r="AR36" s="98"/>
      <c r="AS36" s="98"/>
      <c r="AT36" s="98"/>
      <c r="AU36" s="98"/>
      <c r="AV36" s="98"/>
      <c r="AW36" s="98"/>
      <c r="AX36" s="98"/>
      <c r="AY36" s="98"/>
      <c r="AZ36" s="98"/>
      <c r="BA36" s="98"/>
      <c r="BB36" s="98"/>
      <c r="BC36" s="98"/>
      <c r="BD36" s="98"/>
      <c r="BE36" s="98"/>
      <c r="BF36" s="98"/>
      <c r="BG36" s="98"/>
      <c r="BH36" s="98"/>
      <c r="BI36" s="98"/>
      <c r="BJ36" s="98"/>
      <c r="BK36" s="98"/>
      <c r="BL36" s="98"/>
      <c r="BM36" s="98"/>
      <c r="BN36" s="98"/>
      <c r="BO36" s="98"/>
      <c r="BP36" s="98"/>
      <c r="BQ36" s="98"/>
      <c r="BR36" s="98"/>
      <c r="BS36" s="98"/>
      <c r="BT36" s="98"/>
      <c r="BU36" s="38"/>
      <c r="BV36" s="138" t="s">
        <v>49</v>
      </c>
    </row>
    <row r="37" spans="2:74" ht="23.1" customHeight="1"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182" t="s">
        <v>28</v>
      </c>
      <c r="M37" s="97">
        <f>E35</f>
        <v>60</v>
      </c>
      <c r="N37" s="97">
        <f t="shared" ref="N37:S37" si="1">M39</f>
        <v>60</v>
      </c>
      <c r="O37" s="97">
        <f t="shared" si="1"/>
        <v>46</v>
      </c>
      <c r="P37" s="97">
        <f t="shared" si="1"/>
        <v>36</v>
      </c>
      <c r="Q37" s="97">
        <f t="shared" si="1"/>
        <v>24</v>
      </c>
      <c r="R37" s="97">
        <f t="shared" si="1"/>
        <v>20</v>
      </c>
      <c r="S37" s="97">
        <f t="shared" si="1"/>
        <v>18</v>
      </c>
      <c r="T37" s="97"/>
      <c r="U37" s="97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97"/>
      <c r="AO37" s="97"/>
      <c r="AP37" s="97"/>
      <c r="AQ37" s="97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38"/>
      <c r="BV37" s="139">
        <f>SUM(M37:BT37)</f>
        <v>264</v>
      </c>
    </row>
    <row r="38" spans="2:74" ht="23.1" customHeight="1">
      <c r="B38" s="38"/>
      <c r="C38" s="38"/>
      <c r="D38" s="38"/>
      <c r="E38" s="38"/>
      <c r="F38" s="38"/>
      <c r="G38" s="38"/>
      <c r="H38" s="38"/>
      <c r="I38" s="38"/>
      <c r="J38" s="38"/>
      <c r="K38" s="99" t="s">
        <v>50</v>
      </c>
      <c r="L38" s="182" t="s">
        <v>51</v>
      </c>
      <c r="M38" s="76">
        <v>0</v>
      </c>
      <c r="N38" s="76">
        <v>14</v>
      </c>
      <c r="O38" s="76">
        <v>10</v>
      </c>
      <c r="P38" s="76">
        <v>12</v>
      </c>
      <c r="Q38" s="76">
        <v>4</v>
      </c>
      <c r="R38" s="76">
        <v>2</v>
      </c>
      <c r="S38" s="76">
        <v>18</v>
      </c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38"/>
      <c r="BV38" s="140">
        <f>SUM(M38:BT38)</f>
        <v>60</v>
      </c>
    </row>
    <row r="39" spans="2:74" ht="23.1" customHeight="1"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182" t="s">
        <v>52</v>
      </c>
      <c r="M39" s="97">
        <f t="shared" ref="M39:S39" si="2">M37-M38</f>
        <v>60</v>
      </c>
      <c r="N39" s="97">
        <f t="shared" si="2"/>
        <v>46</v>
      </c>
      <c r="O39" s="97">
        <f t="shared" si="2"/>
        <v>36</v>
      </c>
      <c r="P39" s="97">
        <f t="shared" si="2"/>
        <v>24</v>
      </c>
      <c r="Q39" s="97">
        <f t="shared" si="2"/>
        <v>20</v>
      </c>
      <c r="R39" s="97">
        <f t="shared" si="2"/>
        <v>18</v>
      </c>
      <c r="S39" s="97">
        <f t="shared" si="2"/>
        <v>0</v>
      </c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38"/>
      <c r="BV39" s="140">
        <f>SUM(M39:BT39)</f>
        <v>204</v>
      </c>
    </row>
    <row r="40" spans="2:74" ht="19.5" customHeight="1">
      <c r="C40" s="36" t="s">
        <v>53</v>
      </c>
      <c r="I40" s="210"/>
    </row>
    <row r="41" spans="2:74" ht="381.95" customHeight="1"/>
    <row r="42" spans="2:74" ht="216.95" customHeight="1"/>
    <row r="44" spans="2:74" ht="50.1" customHeight="1">
      <c r="B44" s="253"/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4"/>
      <c r="AM44" s="254"/>
      <c r="AN44" s="254"/>
      <c r="AO44" s="254"/>
      <c r="AP44" s="254"/>
      <c r="AQ44" s="254"/>
      <c r="AR44" s="254"/>
      <c r="AS44" s="254"/>
      <c r="AT44" s="254"/>
      <c r="AU44" s="254"/>
      <c r="AV44" s="254"/>
      <c r="AW44" s="254"/>
      <c r="AX44" s="254"/>
      <c r="AY44" s="254"/>
      <c r="AZ44" s="254"/>
      <c r="BA44" s="254"/>
      <c r="BB44" s="254"/>
      <c r="BC44" s="254"/>
      <c r="BD44" s="254"/>
      <c r="BE44" s="254"/>
      <c r="BF44" s="254"/>
      <c r="BG44" s="254"/>
      <c r="BH44" s="254"/>
      <c r="BI44" s="254"/>
      <c r="BJ44" s="254"/>
      <c r="BK44" s="254"/>
      <c r="BL44" s="254"/>
      <c r="BM44" s="254"/>
      <c r="BN44" s="254"/>
      <c r="BO44" s="254"/>
      <c r="BP44" s="254"/>
      <c r="BQ44" s="254"/>
      <c r="BR44" s="254"/>
      <c r="BS44" s="254"/>
      <c r="BT44" s="254"/>
      <c r="BU44" s="254"/>
      <c r="BV44" s="255"/>
    </row>
  </sheetData>
  <mergeCells count="23">
    <mergeCell ref="BP8:BT8"/>
    <mergeCell ref="B44:BV44"/>
    <mergeCell ref="AL8:AP8"/>
    <mergeCell ref="AQ8:AU8"/>
    <mergeCell ref="AV8:AZ8"/>
    <mergeCell ref="BA8:BE8"/>
    <mergeCell ref="BF8:BJ8"/>
    <mergeCell ref="BK8:BO8"/>
    <mergeCell ref="L8:L9"/>
    <mergeCell ref="M8:Q8"/>
    <mergeCell ref="R8:V8"/>
    <mergeCell ref="W8:AA8"/>
    <mergeCell ref="AB8:AF8"/>
    <mergeCell ref="AG8:AK8"/>
    <mergeCell ref="K3:K7"/>
    <mergeCell ref="B8:B9"/>
    <mergeCell ref="C8:C9"/>
    <mergeCell ref="D8:D9"/>
    <mergeCell ref="E8:G8"/>
    <mergeCell ref="H8:H9"/>
    <mergeCell ref="I8:I9"/>
    <mergeCell ref="J8:J9"/>
    <mergeCell ref="K8:K9"/>
  </mergeCells>
  <conditionalFormatting sqref="L10:L33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{6F603DBA-8806-4E25-8B61-1145300658D4}</x14:id>
        </ext>
      </extLst>
    </cfRule>
  </conditionalFormatting>
  <conditionalFormatting sqref="L10:L33">
    <cfRule type="dataBar" priority="4">
      <dataBar>
        <cfvo type="percent" val="1"/>
        <cfvo type="percent" val="100"/>
        <color theme="8" tint="0.59999389629810485"/>
      </dataBar>
    </cfRule>
  </conditionalFormatting>
  <conditionalFormatting sqref="L10:L3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{77C786E8-0C3C-4693-8942-A0D4FE3D0DD9}</x14:id>
        </ext>
      </extLst>
    </cfRule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{7487DBEB-0418-4D6E-A3CE-E7392A91125A}</x14:id>
        </ext>
      </extLst>
    </cfRule>
  </conditionalFormatting>
  <pageMargins left="0.3" right="0.3" top="0.3" bottom="0.3" header="0" footer="0"/>
  <pageSetup scale="32" fitToHeight="0" orientation="landscape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603DBA-8806-4E25-8B61-1145300658D4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L10:L33</xm:sqref>
        </x14:conditionalFormatting>
        <x14:conditionalFormatting xmlns:xm="http://schemas.microsoft.com/office/excel/2006/main">
          <x14:cfRule type="dataBar" id="{77C786E8-0C3C-4693-8942-A0D4FE3D0DD9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87DBEB-0418-4D6E-A3CE-E7392A9112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L10:L33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DFF89-AF5D-40A9-A224-C057AA42EC24}">
  <sheetPr>
    <tabColor theme="3"/>
    <pageSetUpPr fitToPage="1"/>
  </sheetPr>
  <dimension ref="A1:BV52"/>
  <sheetViews>
    <sheetView showGridLines="0" tabSelected="1" zoomScaleNormal="100" zoomScalePageLayoutView="70" workbookViewId="0">
      <pane ySplit="1" topLeftCell="A17" activePane="bottomLeft" state="frozen"/>
      <selection pane="bottomLeft" activeCell="AA32" sqref="AA32"/>
    </sheetView>
  </sheetViews>
  <sheetFormatPr baseColWidth="10" defaultColWidth="11.125" defaultRowHeight="15.75"/>
  <cols>
    <col min="1" max="1" width="3.25" style="232" customWidth="1"/>
    <col min="2" max="2" width="10.5" style="232" customWidth="1"/>
    <col min="3" max="3" width="30.25" style="232" customWidth="1"/>
    <col min="4" max="4" width="22" style="232" customWidth="1"/>
    <col min="5" max="8" width="9" style="232" customWidth="1"/>
    <col min="9" max="10" width="10.875" style="232" customWidth="1"/>
    <col min="11" max="11" width="9.75" style="232" customWidth="1"/>
    <col min="12" max="12" width="15" style="232" customWidth="1"/>
    <col min="13" max="72" width="3.875" style="232" customWidth="1"/>
    <col min="73" max="73" width="1" style="232" customWidth="1"/>
    <col min="74" max="74" width="8.5" style="233" customWidth="1"/>
    <col min="75" max="75" width="3.25" style="232" customWidth="1"/>
    <col min="76" max="16384" width="11.125" style="232"/>
  </cols>
  <sheetData>
    <row r="1" spans="1:74" ht="45" customHeight="1">
      <c r="A1" s="31"/>
      <c r="B1" s="32" t="s">
        <v>131</v>
      </c>
      <c r="C1" s="33"/>
      <c r="D1" s="33"/>
      <c r="E1" s="33"/>
      <c r="F1" s="33"/>
      <c r="G1" s="33"/>
      <c r="H1" s="33"/>
      <c r="I1" s="33"/>
      <c r="J1" s="34"/>
      <c r="K1" s="34"/>
      <c r="L1" s="34"/>
      <c r="M1" s="34"/>
      <c r="N1" s="34"/>
      <c r="O1" s="34"/>
      <c r="P1" s="34"/>
    </row>
    <row r="2" spans="1:74" s="233" customFormat="1" ht="35.1" customHeight="1" thickBot="1">
      <c r="B2" s="106"/>
      <c r="C2" s="37"/>
      <c r="D2" s="37"/>
      <c r="E2" s="37"/>
      <c r="F2" s="36"/>
      <c r="G2" s="37"/>
      <c r="H2" s="37"/>
      <c r="I2" s="37"/>
      <c r="J2" s="37"/>
      <c r="K2" s="37"/>
      <c r="L2" s="37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</row>
    <row r="3" spans="1:74" ht="23.1" customHeight="1">
      <c r="B3" s="40"/>
      <c r="C3" s="40"/>
      <c r="D3" s="40"/>
      <c r="E3" s="40"/>
      <c r="F3" s="40"/>
      <c r="G3" s="40"/>
      <c r="H3" s="40"/>
      <c r="I3" s="40"/>
      <c r="J3" s="41"/>
      <c r="K3" s="259" t="s">
        <v>1</v>
      </c>
      <c r="L3" s="42" t="s">
        <v>2</v>
      </c>
      <c r="M3" s="43"/>
      <c r="N3" s="43"/>
      <c r="O3" s="43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6"/>
      <c r="BU3" s="38"/>
      <c r="BV3" s="39"/>
    </row>
    <row r="4" spans="1:74" ht="23.1" customHeight="1">
      <c r="B4" s="40"/>
      <c r="C4" s="40"/>
      <c r="D4" s="40"/>
      <c r="E4" s="40"/>
      <c r="F4" s="40"/>
      <c r="G4" s="40"/>
      <c r="H4" s="40"/>
      <c r="I4" s="40"/>
      <c r="J4" s="41"/>
      <c r="K4" s="260"/>
      <c r="L4" s="47" t="s">
        <v>3</v>
      </c>
      <c r="M4" s="48"/>
      <c r="N4" s="48"/>
      <c r="O4" s="48"/>
      <c r="P4" s="49"/>
      <c r="Q4" s="49"/>
      <c r="R4" s="49"/>
      <c r="S4" s="49"/>
      <c r="T4" s="49"/>
      <c r="U4" s="49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51"/>
      <c r="BU4" s="38"/>
      <c r="BV4" s="39"/>
    </row>
    <row r="5" spans="1:74" ht="23.1" customHeight="1">
      <c r="B5" s="36"/>
      <c r="C5" s="37"/>
      <c r="D5" s="37"/>
      <c r="E5" s="37"/>
      <c r="F5" s="37"/>
      <c r="G5" s="37"/>
      <c r="H5" s="37"/>
      <c r="I5" s="36"/>
      <c r="J5" s="37"/>
      <c r="K5" s="260"/>
      <c r="L5" s="52" t="s">
        <v>4</v>
      </c>
      <c r="M5" s="48"/>
      <c r="N5" s="48"/>
      <c r="O5" s="48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53"/>
      <c r="AB5" s="53"/>
      <c r="AC5" s="53"/>
      <c r="AD5" s="53"/>
      <c r="AE5" s="53"/>
      <c r="AF5" s="53"/>
      <c r="AG5" s="53"/>
      <c r="AH5" s="53"/>
      <c r="AI5" s="53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1"/>
      <c r="BU5" s="38"/>
      <c r="BV5" s="39"/>
    </row>
    <row r="6" spans="1:74" ht="23.1" customHeight="1">
      <c r="B6" s="36"/>
      <c r="C6" s="37"/>
      <c r="D6" s="37"/>
      <c r="E6" s="37"/>
      <c r="F6" s="37"/>
      <c r="G6" s="37"/>
      <c r="H6" s="37"/>
      <c r="I6" s="36"/>
      <c r="J6" s="37"/>
      <c r="K6" s="260"/>
      <c r="L6" s="54" t="s">
        <v>5</v>
      </c>
      <c r="M6" s="48"/>
      <c r="N6" s="48"/>
      <c r="O6" s="48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51"/>
      <c r="BU6" s="38"/>
      <c r="BV6" s="39"/>
    </row>
    <row r="7" spans="1:74" ht="23.1" customHeight="1" thickBot="1">
      <c r="B7" s="36"/>
      <c r="C7" s="37"/>
      <c r="D7" s="37"/>
      <c r="E7" s="37"/>
      <c r="F7" s="37"/>
      <c r="G7" s="37"/>
      <c r="H7" s="37"/>
      <c r="I7" s="36"/>
      <c r="J7" s="37"/>
      <c r="K7" s="261"/>
      <c r="L7" s="56" t="s">
        <v>6</v>
      </c>
      <c r="M7" s="48"/>
      <c r="N7" s="48"/>
      <c r="O7" s="48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57"/>
      <c r="AX7" s="57"/>
      <c r="AY7" s="57"/>
      <c r="AZ7" s="57"/>
      <c r="BA7" s="57"/>
      <c r="BB7" s="57"/>
      <c r="BC7" s="57"/>
      <c r="BD7" s="57"/>
      <c r="BE7" s="57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51"/>
      <c r="BU7" s="38"/>
      <c r="BV7" s="39"/>
    </row>
    <row r="8" spans="1:74" ht="23.1" customHeight="1" thickBot="1">
      <c r="B8" s="242" t="s">
        <v>7</v>
      </c>
      <c r="C8" s="251" t="s">
        <v>8</v>
      </c>
      <c r="D8" s="246" t="s">
        <v>9</v>
      </c>
      <c r="E8" s="256" t="s">
        <v>10</v>
      </c>
      <c r="F8" s="257"/>
      <c r="G8" s="258"/>
      <c r="H8" s="244" t="s">
        <v>11</v>
      </c>
      <c r="I8" s="248" t="s">
        <v>12</v>
      </c>
      <c r="J8" s="249" t="s">
        <v>13</v>
      </c>
      <c r="K8" s="262" t="s">
        <v>14</v>
      </c>
      <c r="L8" s="263" t="s">
        <v>15</v>
      </c>
      <c r="M8" s="265" t="s">
        <v>16</v>
      </c>
      <c r="N8" s="240"/>
      <c r="O8" s="240"/>
      <c r="P8" s="240"/>
      <c r="Q8" s="241"/>
      <c r="R8" s="266" t="s">
        <v>17</v>
      </c>
      <c r="S8" s="240"/>
      <c r="T8" s="240"/>
      <c r="U8" s="240"/>
      <c r="V8" s="241"/>
      <c r="W8" s="266" t="s">
        <v>18</v>
      </c>
      <c r="X8" s="240"/>
      <c r="Y8" s="240"/>
      <c r="Z8" s="240"/>
      <c r="AA8" s="241"/>
      <c r="AB8" s="268" t="s">
        <v>19</v>
      </c>
      <c r="AC8" s="240"/>
      <c r="AD8" s="240"/>
      <c r="AE8" s="240"/>
      <c r="AF8" s="241"/>
      <c r="AG8" s="269" t="s">
        <v>20</v>
      </c>
      <c r="AH8" s="240"/>
      <c r="AI8" s="240"/>
      <c r="AJ8" s="240"/>
      <c r="AK8" s="241"/>
      <c r="AL8" s="269" t="s">
        <v>21</v>
      </c>
      <c r="AM8" s="240"/>
      <c r="AN8" s="240"/>
      <c r="AO8" s="240"/>
      <c r="AP8" s="241"/>
      <c r="AQ8" s="267" t="s">
        <v>22</v>
      </c>
      <c r="AR8" s="240"/>
      <c r="AS8" s="240"/>
      <c r="AT8" s="240"/>
      <c r="AU8" s="241"/>
      <c r="AV8" s="270" t="s">
        <v>23</v>
      </c>
      <c r="AW8" s="240"/>
      <c r="AX8" s="240"/>
      <c r="AY8" s="240"/>
      <c r="AZ8" s="241"/>
      <c r="BA8" s="270" t="s">
        <v>24</v>
      </c>
      <c r="BB8" s="240"/>
      <c r="BC8" s="240"/>
      <c r="BD8" s="240"/>
      <c r="BE8" s="241"/>
      <c r="BF8" s="271" t="s">
        <v>25</v>
      </c>
      <c r="BG8" s="240"/>
      <c r="BH8" s="240"/>
      <c r="BI8" s="240"/>
      <c r="BJ8" s="241"/>
      <c r="BK8" s="239"/>
      <c r="BL8" s="240"/>
      <c r="BM8" s="240"/>
      <c r="BN8" s="240"/>
      <c r="BO8" s="241"/>
      <c r="BP8" s="239"/>
      <c r="BQ8" s="240"/>
      <c r="BR8" s="240"/>
      <c r="BS8" s="240"/>
      <c r="BT8" s="241"/>
      <c r="BU8" s="38"/>
      <c r="BV8" s="39"/>
    </row>
    <row r="9" spans="1:74" ht="23.1" customHeight="1" thickTop="1" thickBot="1">
      <c r="B9" s="243"/>
      <c r="C9" s="252"/>
      <c r="D9" s="247"/>
      <c r="E9" s="58" t="s">
        <v>28</v>
      </c>
      <c r="F9" s="59" t="s">
        <v>29</v>
      </c>
      <c r="G9" s="60" t="s">
        <v>30</v>
      </c>
      <c r="H9" s="245"/>
      <c r="I9" s="241"/>
      <c r="J9" s="250"/>
      <c r="K9" s="250"/>
      <c r="L9" s="264"/>
      <c r="M9" s="61" t="s">
        <v>31</v>
      </c>
      <c r="N9" s="62" t="s">
        <v>32</v>
      </c>
      <c r="O9" s="62" t="s">
        <v>33</v>
      </c>
      <c r="P9" s="62" t="s">
        <v>34</v>
      </c>
      <c r="Q9" s="62" t="s">
        <v>35</v>
      </c>
      <c r="R9" s="62" t="s">
        <v>31</v>
      </c>
      <c r="S9" s="62" t="s">
        <v>32</v>
      </c>
      <c r="T9" s="62" t="s">
        <v>33</v>
      </c>
      <c r="U9" s="62" t="s">
        <v>34</v>
      </c>
      <c r="V9" s="62" t="s">
        <v>35</v>
      </c>
      <c r="W9" s="62" t="s">
        <v>31</v>
      </c>
      <c r="X9" s="62" t="s">
        <v>32</v>
      </c>
      <c r="Y9" s="62" t="s">
        <v>33</v>
      </c>
      <c r="Z9" s="62" t="s">
        <v>34</v>
      </c>
      <c r="AA9" s="63" t="s">
        <v>35</v>
      </c>
      <c r="AB9" s="64" t="s">
        <v>31</v>
      </c>
      <c r="AC9" s="65" t="s">
        <v>32</v>
      </c>
      <c r="AD9" s="65" t="s">
        <v>33</v>
      </c>
      <c r="AE9" s="65" t="s">
        <v>34</v>
      </c>
      <c r="AF9" s="65" t="s">
        <v>35</v>
      </c>
      <c r="AG9" s="65" t="s">
        <v>31</v>
      </c>
      <c r="AH9" s="65" t="s">
        <v>32</v>
      </c>
      <c r="AI9" s="65" t="s">
        <v>33</v>
      </c>
      <c r="AJ9" s="65" t="s">
        <v>34</v>
      </c>
      <c r="AK9" s="65" t="s">
        <v>35</v>
      </c>
      <c r="AL9" s="65" t="s">
        <v>31</v>
      </c>
      <c r="AM9" s="65" t="s">
        <v>32</v>
      </c>
      <c r="AN9" s="65" t="s">
        <v>33</v>
      </c>
      <c r="AO9" s="65" t="s">
        <v>34</v>
      </c>
      <c r="AP9" s="66" t="s">
        <v>35</v>
      </c>
      <c r="AQ9" s="67" t="s">
        <v>31</v>
      </c>
      <c r="AR9" s="68" t="s">
        <v>32</v>
      </c>
      <c r="AS9" s="68" t="s">
        <v>33</v>
      </c>
      <c r="AT9" s="68" t="s">
        <v>34</v>
      </c>
      <c r="AU9" s="68" t="s">
        <v>35</v>
      </c>
      <c r="AV9" s="68" t="s">
        <v>31</v>
      </c>
      <c r="AW9" s="68" t="s">
        <v>32</v>
      </c>
      <c r="AX9" s="68" t="s">
        <v>33</v>
      </c>
      <c r="AY9" s="68" t="s">
        <v>34</v>
      </c>
      <c r="AZ9" s="68" t="s">
        <v>35</v>
      </c>
      <c r="BA9" s="68" t="s">
        <v>31</v>
      </c>
      <c r="BB9" s="68" t="s">
        <v>32</v>
      </c>
      <c r="BC9" s="68" t="s">
        <v>33</v>
      </c>
      <c r="BD9" s="68" t="s">
        <v>34</v>
      </c>
      <c r="BE9" s="69" t="s">
        <v>35</v>
      </c>
      <c r="BF9" s="70" t="s">
        <v>31</v>
      </c>
      <c r="BG9" s="71" t="s">
        <v>32</v>
      </c>
      <c r="BH9" s="71" t="s">
        <v>33</v>
      </c>
      <c r="BI9" s="71" t="s">
        <v>34</v>
      </c>
      <c r="BJ9" s="71" t="s">
        <v>35</v>
      </c>
      <c r="BK9" s="188"/>
      <c r="BL9" s="188"/>
      <c r="BM9" s="188"/>
      <c r="BN9" s="188"/>
      <c r="BO9" s="188"/>
      <c r="BP9" s="188"/>
      <c r="BQ9" s="188"/>
      <c r="BR9" s="188"/>
      <c r="BS9" s="188"/>
      <c r="BT9" s="189"/>
      <c r="BU9" s="38"/>
      <c r="BV9" s="39"/>
    </row>
    <row r="10" spans="1:74" ht="23.1" customHeight="1" thickTop="1">
      <c r="B10" s="202">
        <v>1</v>
      </c>
      <c r="C10" s="203" t="s">
        <v>187</v>
      </c>
      <c r="D10" s="204"/>
      <c r="E10" s="197">
        <f>SUM(E11:E13)</f>
        <v>8</v>
      </c>
      <c r="F10" s="198">
        <f>SUM(F11:F13)</f>
        <v>8</v>
      </c>
      <c r="G10" s="199">
        <f>SUM(G11:G13)</f>
        <v>0</v>
      </c>
      <c r="H10" s="205"/>
      <c r="I10" s="206">
        <v>45938</v>
      </c>
      <c r="J10" s="206">
        <v>45944</v>
      </c>
      <c r="K10" s="207">
        <f>J10-I10+1</f>
        <v>7</v>
      </c>
      <c r="L10" s="201">
        <f t="shared" ref="L10:L41" si="0">IFERROR(F10/E10,"")</f>
        <v>1</v>
      </c>
      <c r="M10" s="73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5"/>
      <c r="AB10" s="73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5"/>
      <c r="AQ10" s="73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5"/>
      <c r="BF10" s="73"/>
      <c r="BG10" s="74"/>
      <c r="BH10" s="74"/>
      <c r="BI10" s="74"/>
      <c r="BJ10" s="74"/>
      <c r="BK10" s="78"/>
      <c r="BL10" s="78"/>
      <c r="BM10" s="78"/>
      <c r="BN10" s="78"/>
      <c r="BO10" s="78"/>
      <c r="BP10" s="78"/>
      <c r="BQ10" s="78"/>
      <c r="BR10" s="78"/>
      <c r="BS10" s="78"/>
      <c r="BT10" s="81"/>
      <c r="BU10" s="38"/>
      <c r="BV10" s="39"/>
    </row>
    <row r="11" spans="1:74" ht="23.1" customHeight="1">
      <c r="B11" s="150" t="s">
        <v>88</v>
      </c>
      <c r="C11" t="s">
        <v>203</v>
      </c>
      <c r="D11" s="152" t="s">
        <v>119</v>
      </c>
      <c r="E11" s="153">
        <v>4</v>
      </c>
      <c r="F11" s="154">
        <v>4</v>
      </c>
      <c r="G11" s="155">
        <f>E11-F11</f>
        <v>0</v>
      </c>
      <c r="H11" s="156"/>
      <c r="I11" s="211"/>
      <c r="J11" s="211"/>
      <c r="K11" s="213"/>
      <c r="L11" s="201">
        <f t="shared" si="0"/>
        <v>1</v>
      </c>
      <c r="M11" s="77"/>
      <c r="N11" s="78"/>
      <c r="O11" s="78"/>
      <c r="P11" s="78"/>
      <c r="Q11" s="79"/>
      <c r="R11" s="79"/>
      <c r="S11" s="79"/>
      <c r="T11" s="79"/>
      <c r="U11" s="80"/>
      <c r="V11" s="80"/>
      <c r="W11" s="78"/>
      <c r="X11" s="78"/>
      <c r="Y11" s="78"/>
      <c r="Z11" s="78"/>
      <c r="AA11" s="81"/>
      <c r="AB11" s="77"/>
      <c r="AC11" s="78"/>
      <c r="AD11" s="78"/>
      <c r="AE11" s="78"/>
      <c r="AF11" s="78"/>
      <c r="AG11" s="82"/>
      <c r="AH11" s="82"/>
      <c r="AI11" s="82"/>
      <c r="AJ11" s="82"/>
      <c r="AK11" s="82"/>
      <c r="AL11" s="78"/>
      <c r="AM11" s="78"/>
      <c r="AN11" s="78"/>
      <c r="AO11" s="78"/>
      <c r="AP11" s="81"/>
      <c r="AQ11" s="77"/>
      <c r="AR11" s="78"/>
      <c r="AS11" s="78"/>
      <c r="AT11" s="78"/>
      <c r="AU11" s="78"/>
      <c r="AV11" s="83"/>
      <c r="AW11" s="83"/>
      <c r="AX11" s="83"/>
      <c r="AY11" s="83"/>
      <c r="AZ11" s="83"/>
      <c r="BA11" s="78"/>
      <c r="BB11" s="78"/>
      <c r="BC11" s="78"/>
      <c r="BD11" s="78"/>
      <c r="BE11" s="81"/>
      <c r="BF11" s="77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81"/>
      <c r="BU11" s="38"/>
      <c r="BV11" s="39"/>
    </row>
    <row r="12" spans="1:74" ht="23.1" customHeight="1">
      <c r="B12" s="150" t="s">
        <v>89</v>
      </c>
      <c r="C12" t="s">
        <v>204</v>
      </c>
      <c r="D12" s="152" t="s">
        <v>119</v>
      </c>
      <c r="E12" s="153">
        <v>2</v>
      </c>
      <c r="F12" s="154">
        <v>2</v>
      </c>
      <c r="G12" s="155">
        <f>E12-F12</f>
        <v>0</v>
      </c>
      <c r="H12" s="163"/>
      <c r="I12" s="211"/>
      <c r="J12" s="211"/>
      <c r="K12" s="213"/>
      <c r="L12" s="201">
        <f t="shared" si="0"/>
        <v>1</v>
      </c>
      <c r="M12" s="77"/>
      <c r="N12" s="78"/>
      <c r="O12" s="78"/>
      <c r="P12" s="78"/>
      <c r="Q12" s="78"/>
      <c r="R12" s="80"/>
      <c r="S12" s="80"/>
      <c r="T12" s="79"/>
      <c r="U12" s="79"/>
      <c r="V12" s="80"/>
      <c r="W12" s="78"/>
      <c r="X12" s="78"/>
      <c r="Y12" s="78"/>
      <c r="Z12" s="78"/>
      <c r="AA12" s="81"/>
      <c r="AB12" s="77"/>
      <c r="AC12" s="78"/>
      <c r="AD12" s="78"/>
      <c r="AE12" s="78"/>
      <c r="AF12" s="78"/>
      <c r="AG12" s="82"/>
      <c r="AH12" s="82"/>
      <c r="AI12" s="82"/>
      <c r="AJ12" s="82"/>
      <c r="AK12" s="82"/>
      <c r="AL12" s="78"/>
      <c r="AM12" s="78"/>
      <c r="AN12" s="78"/>
      <c r="AO12" s="78"/>
      <c r="AP12" s="81"/>
      <c r="AQ12" s="77"/>
      <c r="AR12" s="78"/>
      <c r="AS12" s="78"/>
      <c r="AT12" s="78"/>
      <c r="AU12" s="78"/>
      <c r="AV12" s="83"/>
      <c r="AW12" s="83"/>
      <c r="AX12" s="83"/>
      <c r="AY12" s="83"/>
      <c r="AZ12" s="83"/>
      <c r="BA12" s="78"/>
      <c r="BB12" s="78"/>
      <c r="BC12" s="78"/>
      <c r="BD12" s="78"/>
      <c r="BE12" s="81"/>
      <c r="BF12" s="77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81"/>
      <c r="BU12" s="38"/>
      <c r="BV12" s="39"/>
    </row>
    <row r="13" spans="1:74" ht="23.1" customHeight="1">
      <c r="B13" s="150" t="s">
        <v>90</v>
      </c>
      <c r="C13" s="234" t="s">
        <v>205</v>
      </c>
      <c r="D13" s="152" t="s">
        <v>119</v>
      </c>
      <c r="E13" s="153">
        <v>2</v>
      </c>
      <c r="F13" s="154">
        <v>2</v>
      </c>
      <c r="G13" s="155">
        <f>E13-F13</f>
        <v>0</v>
      </c>
      <c r="H13" s="156"/>
      <c r="I13" s="211"/>
      <c r="J13" s="211"/>
      <c r="K13" s="213"/>
      <c r="L13" s="201">
        <f t="shared" si="0"/>
        <v>1</v>
      </c>
      <c r="M13" s="77"/>
      <c r="N13" s="78"/>
      <c r="O13" s="78"/>
      <c r="P13" s="78"/>
      <c r="Q13" s="78"/>
      <c r="R13" s="80"/>
      <c r="S13" s="80"/>
      <c r="T13" s="79"/>
      <c r="U13" s="79"/>
      <c r="V13" s="79"/>
      <c r="W13" s="79"/>
      <c r="X13" s="79"/>
      <c r="Y13" s="79"/>
      <c r="Z13" s="79"/>
      <c r="AA13" s="81"/>
      <c r="AB13" s="77"/>
      <c r="AC13" s="78"/>
      <c r="AD13" s="78"/>
      <c r="AE13" s="78"/>
      <c r="AF13" s="78"/>
      <c r="AG13" s="82"/>
      <c r="AH13" s="82"/>
      <c r="AI13" s="82"/>
      <c r="AJ13" s="82"/>
      <c r="AK13" s="82"/>
      <c r="AL13" s="78"/>
      <c r="AM13" s="78"/>
      <c r="AN13" s="78"/>
      <c r="AO13" s="78"/>
      <c r="AP13" s="81"/>
      <c r="AQ13" s="77"/>
      <c r="AR13" s="78"/>
      <c r="AS13" s="78"/>
      <c r="AT13" s="78"/>
      <c r="AU13" s="78"/>
      <c r="AV13" s="83"/>
      <c r="AW13" s="83"/>
      <c r="AX13" s="83"/>
      <c r="AY13" s="83"/>
      <c r="AZ13" s="83"/>
      <c r="BA13" s="78"/>
      <c r="BB13" s="78"/>
      <c r="BC13" s="78"/>
      <c r="BD13" s="78"/>
      <c r="BE13" s="81"/>
      <c r="BF13" s="77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81"/>
      <c r="BU13" s="38"/>
      <c r="BV13" s="39"/>
    </row>
    <row r="14" spans="1:74" ht="23.1" customHeight="1">
      <c r="B14" s="194" t="s">
        <v>92</v>
      </c>
      <c r="C14" s="195" t="s">
        <v>188</v>
      </c>
      <c r="D14" s="196"/>
      <c r="E14" s="197">
        <f>SUM(E15:E17)</f>
        <v>4</v>
      </c>
      <c r="F14" s="198">
        <f>SUM(F15:F17)</f>
        <v>4</v>
      </c>
      <c r="G14" s="199">
        <f>SUM(G15:G17)</f>
        <v>0</v>
      </c>
      <c r="H14" s="200"/>
      <c r="I14" s="206">
        <v>45938</v>
      </c>
      <c r="J14" s="206">
        <v>45944</v>
      </c>
      <c r="K14" s="207">
        <f>J14-I14+1</f>
        <v>7</v>
      </c>
      <c r="L14" s="201">
        <f t="shared" si="0"/>
        <v>1</v>
      </c>
      <c r="M14" s="73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5"/>
      <c r="AB14" s="73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5"/>
      <c r="AQ14" s="73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5"/>
      <c r="BF14" s="73"/>
      <c r="BG14" s="74"/>
      <c r="BH14" s="74"/>
      <c r="BI14" s="74"/>
      <c r="BJ14" s="74"/>
      <c r="BK14" s="78"/>
      <c r="BL14" s="78"/>
      <c r="BM14" s="78"/>
      <c r="BN14" s="78"/>
      <c r="BO14" s="78"/>
      <c r="BP14" s="78"/>
      <c r="BQ14" s="78"/>
      <c r="BR14" s="78"/>
      <c r="BS14" s="78"/>
      <c r="BT14" s="81"/>
      <c r="BU14" s="38"/>
      <c r="BV14" s="39"/>
    </row>
    <row r="15" spans="1:74" ht="23.1" customHeight="1">
      <c r="B15" s="150">
        <v>2.1</v>
      </c>
      <c r="C15" t="s">
        <v>206</v>
      </c>
      <c r="D15" s="152" t="s">
        <v>119</v>
      </c>
      <c r="E15" s="153">
        <v>2</v>
      </c>
      <c r="F15" s="154">
        <v>2</v>
      </c>
      <c r="G15" s="155">
        <f>E15-F15</f>
        <v>0</v>
      </c>
      <c r="H15" s="156"/>
      <c r="I15" s="187"/>
      <c r="J15" s="187"/>
      <c r="K15" s="213"/>
      <c r="L15" s="201">
        <f t="shared" si="0"/>
        <v>1</v>
      </c>
      <c r="M15" s="77"/>
      <c r="N15" s="78"/>
      <c r="O15" s="78"/>
      <c r="P15" s="78"/>
      <c r="Q15" s="78"/>
      <c r="R15" s="80"/>
      <c r="S15" s="80"/>
      <c r="T15" s="80"/>
      <c r="U15" s="80"/>
      <c r="V15" s="80"/>
      <c r="W15" s="78"/>
      <c r="X15" s="78"/>
      <c r="Y15" s="78"/>
      <c r="Z15" s="78"/>
      <c r="AA15" s="81"/>
      <c r="AB15" s="84"/>
      <c r="AC15" s="85"/>
      <c r="AD15" s="85"/>
      <c r="AE15" s="85"/>
      <c r="AF15" s="85"/>
      <c r="AG15" s="82"/>
      <c r="AH15" s="82"/>
      <c r="AI15" s="82"/>
      <c r="AJ15" s="82"/>
      <c r="AK15" s="82"/>
      <c r="AL15" s="78"/>
      <c r="AM15" s="78"/>
      <c r="AN15" s="78"/>
      <c r="AO15" s="78"/>
      <c r="AP15" s="81"/>
      <c r="AQ15" s="77"/>
      <c r="AR15" s="78"/>
      <c r="AS15" s="78"/>
      <c r="AT15" s="78"/>
      <c r="AU15" s="78"/>
      <c r="AV15" s="83"/>
      <c r="AW15" s="83"/>
      <c r="AX15" s="83"/>
      <c r="AY15" s="83"/>
      <c r="AZ15" s="83"/>
      <c r="BA15" s="78"/>
      <c r="BB15" s="78"/>
      <c r="BC15" s="78"/>
      <c r="BD15" s="78"/>
      <c r="BE15" s="81"/>
      <c r="BF15" s="77"/>
      <c r="BG15" s="78"/>
      <c r="BH15" s="78"/>
      <c r="BI15" s="78"/>
      <c r="BJ15" s="78"/>
      <c r="BK15" s="78"/>
      <c r="BL15" s="78"/>
      <c r="BM15" s="78"/>
      <c r="BN15" s="78"/>
      <c r="BO15" s="78"/>
      <c r="BP15" s="78"/>
      <c r="BQ15" s="78"/>
      <c r="BR15" s="78"/>
      <c r="BS15" s="78"/>
      <c r="BT15" s="81"/>
      <c r="BU15" s="38"/>
      <c r="BV15" s="39"/>
    </row>
    <row r="16" spans="1:74" ht="23.1" customHeight="1">
      <c r="B16" s="150">
        <v>2.2000000000000002</v>
      </c>
      <c r="C16" t="s">
        <v>207</v>
      </c>
      <c r="D16" s="152" t="s">
        <v>119</v>
      </c>
      <c r="E16" s="153">
        <v>1</v>
      </c>
      <c r="F16" s="154">
        <v>1</v>
      </c>
      <c r="G16" s="155">
        <f>E16-F16</f>
        <v>0</v>
      </c>
      <c r="H16" s="156"/>
      <c r="I16" s="187"/>
      <c r="J16" s="187"/>
      <c r="K16" s="213"/>
      <c r="L16" s="201">
        <f t="shared" si="0"/>
        <v>1</v>
      </c>
      <c r="M16" s="77"/>
      <c r="N16" s="78"/>
      <c r="O16" s="78"/>
      <c r="P16" s="78"/>
      <c r="Q16" s="78"/>
      <c r="R16" s="80"/>
      <c r="S16" s="80"/>
      <c r="T16" s="80"/>
      <c r="U16" s="80"/>
      <c r="V16" s="80"/>
      <c r="W16" s="78"/>
      <c r="X16" s="78"/>
      <c r="Y16" s="78"/>
      <c r="Z16" s="78"/>
      <c r="AA16" s="81"/>
      <c r="AB16" s="77"/>
      <c r="AC16" s="78"/>
      <c r="AD16" s="78"/>
      <c r="AE16" s="78"/>
      <c r="AF16" s="78"/>
      <c r="AG16" s="85"/>
      <c r="AH16" s="85"/>
      <c r="AI16" s="85"/>
      <c r="AJ16" s="85"/>
      <c r="AK16" s="85"/>
      <c r="AL16" s="78"/>
      <c r="AM16" s="78"/>
      <c r="AN16" s="78"/>
      <c r="AO16" s="78"/>
      <c r="AP16" s="81"/>
      <c r="AQ16" s="77"/>
      <c r="AR16" s="78"/>
      <c r="AS16" s="78"/>
      <c r="AT16" s="78"/>
      <c r="AU16" s="78"/>
      <c r="AV16" s="83"/>
      <c r="AW16" s="83"/>
      <c r="AX16" s="83"/>
      <c r="AY16" s="83"/>
      <c r="AZ16" s="83"/>
      <c r="BA16" s="78"/>
      <c r="BB16" s="78"/>
      <c r="BC16" s="78"/>
      <c r="BD16" s="78"/>
      <c r="BE16" s="81"/>
      <c r="BF16" s="77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81"/>
      <c r="BU16" s="38"/>
      <c r="BV16" s="39"/>
    </row>
    <row r="17" spans="2:74" ht="23.1" customHeight="1">
      <c r="B17" s="150">
        <v>2.2999999999999998</v>
      </c>
      <c r="C17" t="s">
        <v>208</v>
      </c>
      <c r="D17" s="152" t="s">
        <v>119</v>
      </c>
      <c r="E17" s="153">
        <v>1</v>
      </c>
      <c r="F17" s="154">
        <v>1</v>
      </c>
      <c r="G17" s="155">
        <f>E17-F17</f>
        <v>0</v>
      </c>
      <c r="H17" s="156"/>
      <c r="I17" s="187"/>
      <c r="J17" s="187"/>
      <c r="K17" s="213"/>
      <c r="L17" s="201">
        <f t="shared" si="0"/>
        <v>1</v>
      </c>
      <c r="M17" s="77"/>
      <c r="N17" s="78"/>
      <c r="O17" s="78"/>
      <c r="P17" s="78"/>
      <c r="Q17" s="78"/>
      <c r="R17" s="80"/>
      <c r="S17" s="80"/>
      <c r="T17" s="80"/>
      <c r="U17" s="80"/>
      <c r="V17" s="80"/>
      <c r="W17" s="78"/>
      <c r="X17" s="78"/>
      <c r="Y17" s="78"/>
      <c r="Z17" s="78"/>
      <c r="AA17" s="81"/>
      <c r="AB17" s="77"/>
      <c r="AC17" s="78"/>
      <c r="AD17" s="78"/>
      <c r="AE17" s="78"/>
      <c r="AF17" s="78"/>
      <c r="AG17" s="82"/>
      <c r="AH17" s="82"/>
      <c r="AI17" s="82"/>
      <c r="AJ17" s="82"/>
      <c r="AK17" s="82"/>
      <c r="AL17" s="78"/>
      <c r="AM17" s="78"/>
      <c r="AN17" s="78"/>
      <c r="AO17" s="78"/>
      <c r="AP17" s="81"/>
      <c r="AQ17" s="77"/>
      <c r="AR17" s="78"/>
      <c r="AS17" s="78"/>
      <c r="AT17" s="78"/>
      <c r="AU17" s="78"/>
      <c r="AV17" s="83"/>
      <c r="AW17" s="83"/>
      <c r="AX17" s="83"/>
      <c r="AY17" s="83"/>
      <c r="AZ17" s="83"/>
      <c r="BA17" s="78"/>
      <c r="BB17" s="78"/>
      <c r="BC17" s="78"/>
      <c r="BD17" s="78"/>
      <c r="BE17" s="81"/>
      <c r="BF17" s="77"/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81"/>
      <c r="BU17" s="38"/>
      <c r="BV17" s="39"/>
    </row>
    <row r="18" spans="2:74" ht="23.1" customHeight="1">
      <c r="B18" s="194">
        <v>3</v>
      </c>
      <c r="C18" s="195" t="s">
        <v>189</v>
      </c>
      <c r="D18" s="196"/>
      <c r="E18" s="197">
        <f>SUM(E19:E21)</f>
        <v>8</v>
      </c>
      <c r="F18" s="198">
        <f>SUM(F19:F21)</f>
        <v>8</v>
      </c>
      <c r="G18" s="199">
        <f>SUM(G19:G21)</f>
        <v>0</v>
      </c>
      <c r="H18" s="200"/>
      <c r="I18" s="206">
        <v>45938</v>
      </c>
      <c r="J18" s="206">
        <v>45944</v>
      </c>
      <c r="K18" s="207">
        <f>J18-I18+1</f>
        <v>7</v>
      </c>
      <c r="L18" s="201">
        <f t="shared" si="0"/>
        <v>1</v>
      </c>
      <c r="M18" s="73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5"/>
      <c r="AB18" s="73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5"/>
      <c r="AQ18" s="73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5"/>
      <c r="BF18" s="73"/>
      <c r="BG18" s="74"/>
      <c r="BH18" s="74"/>
      <c r="BI18" s="74"/>
      <c r="BJ18" s="74"/>
      <c r="BK18" s="78"/>
      <c r="BL18" s="78"/>
      <c r="BM18" s="78"/>
      <c r="BN18" s="78"/>
      <c r="BO18" s="78"/>
      <c r="BP18" s="78"/>
      <c r="BQ18" s="78"/>
      <c r="BR18" s="78"/>
      <c r="BS18" s="78"/>
      <c r="BT18" s="81"/>
      <c r="BU18" s="38"/>
      <c r="BV18" s="39"/>
    </row>
    <row r="19" spans="2:74" ht="23.1" customHeight="1">
      <c r="B19" s="150">
        <v>3.1</v>
      </c>
      <c r="C19" t="s">
        <v>209</v>
      </c>
      <c r="D19" s="152" t="s">
        <v>119</v>
      </c>
      <c r="E19" s="153">
        <v>4</v>
      </c>
      <c r="F19" s="154">
        <v>4</v>
      </c>
      <c r="G19" s="155">
        <f>E19-F19</f>
        <v>0</v>
      </c>
      <c r="H19" s="156"/>
      <c r="I19" s="157"/>
      <c r="J19" s="158"/>
      <c r="K19" s="213"/>
      <c r="L19" s="201">
        <f t="shared" si="0"/>
        <v>1</v>
      </c>
      <c r="M19" s="77"/>
      <c r="N19" s="78"/>
      <c r="O19" s="78"/>
      <c r="P19" s="78"/>
      <c r="Q19" s="78"/>
      <c r="R19" s="80"/>
      <c r="S19" s="80"/>
      <c r="T19" s="80"/>
      <c r="U19" s="80"/>
      <c r="V19" s="80"/>
      <c r="W19" s="78"/>
      <c r="X19" s="78"/>
      <c r="Y19" s="78"/>
      <c r="Z19" s="78"/>
      <c r="AA19" s="81"/>
      <c r="AB19" s="77"/>
      <c r="AC19" s="78"/>
      <c r="AD19" s="78"/>
      <c r="AE19" s="78"/>
      <c r="AF19" s="78"/>
      <c r="AG19" s="82"/>
      <c r="AH19" s="82"/>
      <c r="AI19" s="82"/>
      <c r="AJ19" s="82"/>
      <c r="AK19" s="82"/>
      <c r="AL19" s="78"/>
      <c r="AM19" s="78"/>
      <c r="AN19" s="78"/>
      <c r="AO19" s="78"/>
      <c r="AP19" s="81"/>
      <c r="AQ19" s="77"/>
      <c r="AR19" s="78"/>
      <c r="AS19" s="78"/>
      <c r="AT19" s="78"/>
      <c r="AU19" s="78"/>
      <c r="AV19" s="83"/>
      <c r="AW19" s="83"/>
      <c r="AX19" s="83"/>
      <c r="AY19" s="83"/>
      <c r="AZ19" s="83"/>
      <c r="BA19" s="78"/>
      <c r="BB19" s="78"/>
      <c r="BC19" s="78"/>
      <c r="BD19" s="78"/>
      <c r="BE19" s="81"/>
      <c r="BF19" s="77"/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81"/>
      <c r="BU19" s="38"/>
      <c r="BV19" s="39"/>
    </row>
    <row r="20" spans="2:74" ht="23.1" customHeight="1">
      <c r="B20" s="150">
        <v>3.2</v>
      </c>
      <c r="C20" t="s">
        <v>210</v>
      </c>
      <c r="D20" s="152" t="s">
        <v>119</v>
      </c>
      <c r="E20" s="153">
        <v>3</v>
      </c>
      <c r="F20" s="154">
        <v>3</v>
      </c>
      <c r="G20" s="155">
        <f>E20-F20</f>
        <v>0</v>
      </c>
      <c r="H20" s="156"/>
      <c r="I20" s="157"/>
      <c r="J20" s="158"/>
      <c r="K20" s="213"/>
      <c r="L20" s="201">
        <f t="shared" si="0"/>
        <v>1</v>
      </c>
      <c r="M20" s="77"/>
      <c r="N20" s="78"/>
      <c r="O20" s="78"/>
      <c r="P20" s="78"/>
      <c r="Q20" s="78"/>
      <c r="R20" s="80"/>
      <c r="S20" s="80"/>
      <c r="T20" s="80"/>
      <c r="U20" s="80"/>
      <c r="V20" s="80"/>
      <c r="W20" s="78"/>
      <c r="X20" s="78"/>
      <c r="Y20" s="78"/>
      <c r="Z20" s="78"/>
      <c r="AA20" s="81"/>
      <c r="AB20" s="77"/>
      <c r="AC20" s="78"/>
      <c r="AD20" s="78"/>
      <c r="AE20" s="78"/>
      <c r="AF20" s="78"/>
      <c r="AG20" s="82"/>
      <c r="AH20" s="82"/>
      <c r="AI20" s="82"/>
      <c r="AJ20" s="82"/>
      <c r="AK20" s="82"/>
      <c r="AL20" s="78"/>
      <c r="AM20" s="78"/>
      <c r="AN20" s="78"/>
      <c r="AO20" s="78"/>
      <c r="AP20" s="81"/>
      <c r="AQ20" s="77"/>
      <c r="AR20" s="78"/>
      <c r="AS20" s="78"/>
      <c r="AT20" s="78"/>
      <c r="AU20" s="78"/>
      <c r="AV20" s="83"/>
      <c r="AW20" s="83"/>
      <c r="AX20" s="83"/>
      <c r="AY20" s="83"/>
      <c r="AZ20" s="83"/>
      <c r="BA20" s="78"/>
      <c r="BB20" s="78"/>
      <c r="BC20" s="78"/>
      <c r="BD20" s="78"/>
      <c r="BE20" s="81"/>
      <c r="BF20" s="77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81"/>
      <c r="BU20" s="38"/>
      <c r="BV20" s="39"/>
    </row>
    <row r="21" spans="2:74" ht="23.1" customHeight="1">
      <c r="B21" s="150" t="s">
        <v>147</v>
      </c>
      <c r="C21" t="s">
        <v>211</v>
      </c>
      <c r="D21" s="152" t="s">
        <v>119</v>
      </c>
      <c r="E21" s="153">
        <v>1</v>
      </c>
      <c r="F21" s="154">
        <v>1</v>
      </c>
      <c r="G21" s="155">
        <f>E21-F21</f>
        <v>0</v>
      </c>
      <c r="H21" s="163"/>
      <c r="I21" s="157"/>
      <c r="J21" s="158"/>
      <c r="K21" s="213"/>
      <c r="L21" s="201">
        <f t="shared" si="0"/>
        <v>1</v>
      </c>
      <c r="M21" s="77"/>
      <c r="N21" s="78"/>
      <c r="O21" s="78"/>
      <c r="P21" s="78"/>
      <c r="Q21" s="78"/>
      <c r="R21" s="80"/>
      <c r="S21" s="80"/>
      <c r="T21" s="80"/>
      <c r="U21" s="80"/>
      <c r="V21" s="80"/>
      <c r="W21" s="78"/>
      <c r="X21" s="78"/>
      <c r="Y21" s="78"/>
      <c r="Z21" s="78"/>
      <c r="AA21" s="81"/>
      <c r="AB21" s="77"/>
      <c r="AC21" s="78"/>
      <c r="AD21" s="78"/>
      <c r="AE21" s="78"/>
      <c r="AF21" s="78"/>
      <c r="AG21" s="82"/>
      <c r="AH21" s="82"/>
      <c r="AI21" s="82"/>
      <c r="AJ21" s="82"/>
      <c r="AK21" s="82"/>
      <c r="AL21" s="78"/>
      <c r="AM21" s="78"/>
      <c r="AN21" s="78"/>
      <c r="AO21" s="78"/>
      <c r="AP21" s="81"/>
      <c r="AQ21" s="77"/>
      <c r="AR21" s="78"/>
      <c r="AS21" s="78"/>
      <c r="AT21" s="78"/>
      <c r="AU21" s="78"/>
      <c r="AV21" s="83"/>
      <c r="AW21" s="83"/>
      <c r="AX21" s="83"/>
      <c r="AY21" s="83"/>
      <c r="AZ21" s="83"/>
      <c r="BA21" s="78"/>
      <c r="BB21" s="78"/>
      <c r="BC21" s="78"/>
      <c r="BD21" s="78"/>
      <c r="BE21" s="81"/>
      <c r="BF21" s="77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81"/>
      <c r="BU21" s="38"/>
      <c r="BV21" s="39"/>
    </row>
    <row r="22" spans="2:74" ht="23.1" customHeight="1">
      <c r="B22" s="194" t="s">
        <v>73</v>
      </c>
      <c r="C22" s="195" t="s">
        <v>190</v>
      </c>
      <c r="D22" s="196"/>
      <c r="E22" s="197">
        <f>SUM(E23:E25)</f>
        <v>8</v>
      </c>
      <c r="F22" s="198">
        <f>SUM(F23:F25)</f>
        <v>8</v>
      </c>
      <c r="G22" s="199">
        <f>SUM(G23:G25)</f>
        <v>0</v>
      </c>
      <c r="H22" s="200"/>
      <c r="I22" s="206">
        <v>45938</v>
      </c>
      <c r="J22" s="206">
        <v>45944</v>
      </c>
      <c r="K22" s="207">
        <f>J22-I22+1</f>
        <v>7</v>
      </c>
      <c r="L22" s="201">
        <f t="shared" si="0"/>
        <v>1</v>
      </c>
      <c r="M22" s="73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5"/>
      <c r="AB22" s="73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5"/>
      <c r="AQ22" s="73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5"/>
      <c r="BF22" s="73"/>
      <c r="BG22" s="74"/>
      <c r="BH22" s="74"/>
      <c r="BI22" s="74"/>
      <c r="BJ22" s="74"/>
      <c r="BK22" s="78"/>
      <c r="BL22" s="78"/>
      <c r="BM22" s="78"/>
      <c r="BN22" s="78"/>
      <c r="BO22" s="78"/>
      <c r="BP22" s="78"/>
      <c r="BQ22" s="78"/>
      <c r="BR22" s="78"/>
      <c r="BS22" s="78"/>
      <c r="BT22" s="81"/>
      <c r="BU22" s="38"/>
      <c r="BV22" s="39"/>
    </row>
    <row r="23" spans="2:74" ht="23.1" customHeight="1">
      <c r="B23" s="150" t="s">
        <v>93</v>
      </c>
      <c r="C23" t="s">
        <v>212</v>
      </c>
      <c r="D23" s="152" t="s">
        <v>129</v>
      </c>
      <c r="E23" s="153">
        <v>4</v>
      </c>
      <c r="F23" s="154">
        <v>4</v>
      </c>
      <c r="G23" s="155">
        <f>E23-F23</f>
        <v>0</v>
      </c>
      <c r="H23" s="156"/>
      <c r="I23" s="157"/>
      <c r="J23" s="158"/>
      <c r="K23" s="213"/>
      <c r="L23" s="201">
        <f t="shared" si="0"/>
        <v>1</v>
      </c>
      <c r="M23" s="77"/>
      <c r="N23" s="78"/>
      <c r="O23" s="78"/>
      <c r="P23" s="78"/>
      <c r="Q23" s="78"/>
      <c r="R23" s="80"/>
      <c r="S23" s="80"/>
      <c r="T23" s="80"/>
      <c r="U23" s="80"/>
      <c r="V23" s="80"/>
      <c r="W23" s="78"/>
      <c r="X23" s="78"/>
      <c r="Y23" s="78"/>
      <c r="Z23" s="78"/>
      <c r="AA23" s="81"/>
      <c r="AB23" s="77"/>
      <c r="AC23" s="78"/>
      <c r="AD23" s="78"/>
      <c r="AE23" s="78"/>
      <c r="AF23" s="78"/>
      <c r="AG23" s="82"/>
      <c r="AH23" s="82"/>
      <c r="AI23" s="82"/>
      <c r="AJ23" s="82"/>
      <c r="AK23" s="82"/>
      <c r="AL23" s="78"/>
      <c r="AM23" s="78"/>
      <c r="AN23" s="78"/>
      <c r="AO23" s="78"/>
      <c r="AP23" s="81"/>
      <c r="AQ23" s="77"/>
      <c r="AR23" s="78"/>
      <c r="AS23" s="78"/>
      <c r="AT23" s="78"/>
      <c r="AU23" s="78"/>
      <c r="AV23" s="83"/>
      <c r="AW23" s="83"/>
      <c r="AX23" s="83"/>
      <c r="AY23" s="83"/>
      <c r="AZ23" s="83"/>
      <c r="BA23" s="78"/>
      <c r="BB23" s="78"/>
      <c r="BC23" s="78"/>
      <c r="BD23" s="78"/>
      <c r="BE23" s="81"/>
      <c r="BF23" s="77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81"/>
      <c r="BU23" s="38"/>
      <c r="BV23" s="39"/>
    </row>
    <row r="24" spans="2:74" ht="23.1" customHeight="1">
      <c r="B24" s="150" t="s">
        <v>94</v>
      </c>
      <c r="C24" t="s">
        <v>213</v>
      </c>
      <c r="D24" s="152" t="s">
        <v>129</v>
      </c>
      <c r="E24" s="153">
        <v>3</v>
      </c>
      <c r="F24" s="154">
        <v>3</v>
      </c>
      <c r="G24" s="155">
        <f>E24-F24</f>
        <v>0</v>
      </c>
      <c r="H24" s="156"/>
      <c r="I24" s="157"/>
      <c r="J24" s="158"/>
      <c r="K24" s="213"/>
      <c r="L24" s="201">
        <f t="shared" si="0"/>
        <v>1</v>
      </c>
      <c r="M24" s="77"/>
      <c r="N24" s="78"/>
      <c r="O24" s="78"/>
      <c r="P24" s="78"/>
      <c r="Q24" s="78"/>
      <c r="R24" s="80"/>
      <c r="S24" s="80"/>
      <c r="T24" s="80"/>
      <c r="U24" s="80"/>
      <c r="V24" s="80"/>
      <c r="W24" s="78"/>
      <c r="X24" s="78"/>
      <c r="Y24" s="78"/>
      <c r="Z24" s="78"/>
      <c r="AA24" s="81"/>
      <c r="AB24" s="77"/>
      <c r="AC24" s="78"/>
      <c r="AD24" s="78"/>
      <c r="AE24" s="78"/>
      <c r="AF24" s="78"/>
      <c r="AG24" s="82"/>
      <c r="AH24" s="82"/>
      <c r="AI24" s="82"/>
      <c r="AJ24" s="82"/>
      <c r="AK24" s="82"/>
      <c r="AL24" s="78"/>
      <c r="AM24" s="78"/>
      <c r="AN24" s="78"/>
      <c r="AO24" s="78"/>
      <c r="AP24" s="81"/>
      <c r="AQ24" s="77"/>
      <c r="AR24" s="78"/>
      <c r="AS24" s="78"/>
      <c r="AT24" s="78"/>
      <c r="AU24" s="78"/>
      <c r="AV24" s="83"/>
      <c r="AW24" s="83"/>
      <c r="AX24" s="83"/>
      <c r="AY24" s="83"/>
      <c r="AZ24" s="83"/>
      <c r="BA24" s="78"/>
      <c r="BB24" s="78"/>
      <c r="BC24" s="78"/>
      <c r="BD24" s="78"/>
      <c r="BE24" s="81"/>
      <c r="BF24" s="77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81"/>
      <c r="BU24" s="38"/>
      <c r="BV24" s="39"/>
    </row>
    <row r="25" spans="2:74" ht="23.1" customHeight="1">
      <c r="B25" s="150" t="s">
        <v>75</v>
      </c>
      <c r="C25" t="s">
        <v>214</v>
      </c>
      <c r="D25" s="152" t="s">
        <v>129</v>
      </c>
      <c r="E25" s="153">
        <v>1</v>
      </c>
      <c r="F25" s="154">
        <v>1</v>
      </c>
      <c r="G25" s="155">
        <f>E25-F25</f>
        <v>0</v>
      </c>
      <c r="H25" s="156"/>
      <c r="I25" s="157"/>
      <c r="J25" s="158"/>
      <c r="K25" s="213"/>
      <c r="L25" s="201">
        <f t="shared" si="0"/>
        <v>1</v>
      </c>
      <c r="M25" s="77"/>
      <c r="N25" s="78"/>
      <c r="O25" s="78"/>
      <c r="P25" s="78"/>
      <c r="Q25" s="78"/>
      <c r="R25" s="80"/>
      <c r="S25" s="80"/>
      <c r="T25" s="80"/>
      <c r="U25" s="80"/>
      <c r="V25" s="80"/>
      <c r="W25" s="78"/>
      <c r="X25" s="78"/>
      <c r="Y25" s="78"/>
      <c r="Z25" s="78"/>
      <c r="AA25" s="81"/>
      <c r="AB25" s="77"/>
      <c r="AC25" s="78"/>
      <c r="AD25" s="78"/>
      <c r="AE25" s="78"/>
      <c r="AF25" s="78"/>
      <c r="AG25" s="82"/>
      <c r="AH25" s="82"/>
      <c r="AI25" s="82"/>
      <c r="AJ25" s="82"/>
      <c r="AK25" s="82"/>
      <c r="AL25" s="78"/>
      <c r="AM25" s="78"/>
      <c r="AN25" s="78"/>
      <c r="AO25" s="78"/>
      <c r="AP25" s="81"/>
      <c r="AQ25" s="77"/>
      <c r="AR25" s="78"/>
      <c r="AS25" s="78"/>
      <c r="AT25" s="78"/>
      <c r="AU25" s="78"/>
      <c r="AV25" s="83"/>
      <c r="AW25" s="83"/>
      <c r="AX25" s="83"/>
      <c r="AY25" s="83"/>
      <c r="AZ25" s="83"/>
      <c r="BA25" s="78"/>
      <c r="BB25" s="78"/>
      <c r="BC25" s="78"/>
      <c r="BD25" s="78"/>
      <c r="BE25" s="81"/>
      <c r="BF25" s="77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81"/>
      <c r="BU25" s="38"/>
      <c r="BV25" s="39"/>
    </row>
    <row r="26" spans="2:74" ht="23.1" customHeight="1">
      <c r="B26" s="194" t="s">
        <v>76</v>
      </c>
      <c r="C26" s="195" t="s">
        <v>191</v>
      </c>
      <c r="D26" s="196"/>
      <c r="E26" s="197">
        <f>SUM(E27:E29)</f>
        <v>8</v>
      </c>
      <c r="F26" s="198">
        <f>SUM(F27:F29)</f>
        <v>8</v>
      </c>
      <c r="G26" s="199">
        <f>SUM(G27:G29)</f>
        <v>0</v>
      </c>
      <c r="H26" s="200"/>
      <c r="I26" s="206">
        <v>45938</v>
      </c>
      <c r="J26" s="206">
        <v>45944</v>
      </c>
      <c r="K26" s="207">
        <f>J26-I26+1</f>
        <v>7</v>
      </c>
      <c r="L26" s="201">
        <f t="shared" si="0"/>
        <v>1</v>
      </c>
      <c r="M26" s="73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5"/>
      <c r="AB26" s="73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5"/>
      <c r="AQ26" s="73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5"/>
      <c r="BF26" s="73"/>
      <c r="BG26" s="74"/>
      <c r="BH26" s="74"/>
      <c r="BI26" s="74"/>
      <c r="BJ26" s="74"/>
      <c r="BK26" s="191"/>
      <c r="BL26" s="191"/>
      <c r="BM26" s="191"/>
      <c r="BN26" s="191"/>
      <c r="BO26" s="191"/>
      <c r="BP26" s="191"/>
      <c r="BQ26" s="191"/>
      <c r="BR26" s="191"/>
      <c r="BS26" s="191"/>
      <c r="BT26" s="192"/>
      <c r="BU26" s="38"/>
      <c r="BV26" s="39"/>
    </row>
    <row r="27" spans="2:74" ht="23.1" customHeight="1">
      <c r="B27" s="150" t="s">
        <v>79</v>
      </c>
      <c r="C27" t="s">
        <v>215</v>
      </c>
      <c r="D27" s="152" t="s">
        <v>129</v>
      </c>
      <c r="E27" s="153">
        <v>4</v>
      </c>
      <c r="F27" s="154">
        <v>4</v>
      </c>
      <c r="G27" s="155">
        <f>E27-F27</f>
        <v>0</v>
      </c>
      <c r="H27" s="212"/>
      <c r="I27" s="157"/>
      <c r="J27" s="158"/>
      <c r="K27" s="213"/>
      <c r="L27" s="201">
        <f t="shared" si="0"/>
        <v>1</v>
      </c>
      <c r="M27" s="73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5"/>
      <c r="AB27" s="73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5"/>
      <c r="AQ27" s="73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5"/>
      <c r="BF27" s="73"/>
      <c r="BG27" s="74"/>
      <c r="BH27" s="74"/>
      <c r="BI27" s="74"/>
      <c r="BJ27" s="74"/>
      <c r="BK27" s="191"/>
      <c r="BL27" s="191"/>
      <c r="BM27" s="191"/>
      <c r="BN27" s="191"/>
      <c r="BO27" s="191"/>
      <c r="BP27" s="191"/>
      <c r="BQ27" s="191"/>
      <c r="BR27" s="191"/>
      <c r="BS27" s="191"/>
      <c r="BT27" s="192"/>
      <c r="BU27" s="38"/>
      <c r="BV27" s="39"/>
    </row>
    <row r="28" spans="2:74" ht="23.1" customHeight="1">
      <c r="B28" s="150" t="s">
        <v>80</v>
      </c>
      <c r="C28" t="s">
        <v>216</v>
      </c>
      <c r="D28" s="152" t="s">
        <v>129</v>
      </c>
      <c r="E28" s="153">
        <v>3</v>
      </c>
      <c r="F28" s="154">
        <v>3</v>
      </c>
      <c r="G28" s="155">
        <f>E28-F28</f>
        <v>0</v>
      </c>
      <c r="H28" s="212"/>
      <c r="I28" s="157"/>
      <c r="J28" s="158"/>
      <c r="K28" s="213"/>
      <c r="L28" s="201">
        <f t="shared" si="0"/>
        <v>1</v>
      </c>
      <c r="M28" s="73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5"/>
      <c r="AB28" s="73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5"/>
      <c r="AQ28" s="73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5"/>
      <c r="BF28" s="73"/>
      <c r="BG28" s="74"/>
      <c r="BH28" s="74"/>
      <c r="BI28" s="74"/>
      <c r="BJ28" s="74"/>
      <c r="BK28" s="191"/>
      <c r="BL28" s="191"/>
      <c r="BM28" s="191"/>
      <c r="BN28" s="191"/>
      <c r="BO28" s="191"/>
      <c r="BP28" s="191"/>
      <c r="BQ28" s="191"/>
      <c r="BR28" s="191"/>
      <c r="BS28" s="191"/>
      <c r="BT28" s="192"/>
      <c r="BU28" s="38"/>
      <c r="BV28" s="39"/>
    </row>
    <row r="29" spans="2:74" ht="23.1" customHeight="1">
      <c r="B29" s="150" t="s">
        <v>81</v>
      </c>
      <c r="C29" t="s">
        <v>217</v>
      </c>
      <c r="D29" s="152" t="s">
        <v>129</v>
      </c>
      <c r="E29" s="153">
        <v>1</v>
      </c>
      <c r="F29" s="154">
        <v>1</v>
      </c>
      <c r="G29" s="155">
        <f>E29-F29</f>
        <v>0</v>
      </c>
      <c r="H29" s="212"/>
      <c r="I29" s="157"/>
      <c r="J29" s="158"/>
      <c r="K29" s="213"/>
      <c r="L29" s="201">
        <f>IFERROR(F29/E29,"")</f>
        <v>1</v>
      </c>
      <c r="M29" s="73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5"/>
      <c r="AB29" s="73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5"/>
      <c r="AQ29" s="73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5"/>
      <c r="BF29" s="73"/>
      <c r="BG29" s="74"/>
      <c r="BH29" s="74"/>
      <c r="BI29" s="74"/>
      <c r="BJ29" s="74"/>
      <c r="BK29" s="191"/>
      <c r="BL29" s="191"/>
      <c r="BM29" s="191"/>
      <c r="BN29" s="191"/>
      <c r="BO29" s="191"/>
      <c r="BP29" s="191"/>
      <c r="BQ29" s="191"/>
      <c r="BR29" s="191"/>
      <c r="BS29" s="191"/>
      <c r="BT29" s="192"/>
      <c r="BU29" s="38"/>
      <c r="BV29" s="39"/>
    </row>
    <row r="30" spans="2:74" ht="23.1" customHeight="1">
      <c r="B30" s="194" t="s">
        <v>78</v>
      </c>
      <c r="C30" s="195" t="s">
        <v>192</v>
      </c>
      <c r="D30" s="196"/>
      <c r="E30" s="197">
        <f>SUM(E31:E33)</f>
        <v>8</v>
      </c>
      <c r="F30" s="198">
        <f>SUM(F31:F33)</f>
        <v>8</v>
      </c>
      <c r="G30" s="199">
        <f>SUM(G31:G33)</f>
        <v>0</v>
      </c>
      <c r="H30" s="200"/>
      <c r="I30" s="206">
        <v>45938</v>
      </c>
      <c r="J30" s="206">
        <v>45944</v>
      </c>
      <c r="K30" s="207">
        <f>J30-I30+1</f>
        <v>7</v>
      </c>
      <c r="L30" s="201">
        <f>IFERROR(F30/E30,"")</f>
        <v>1</v>
      </c>
      <c r="M30" s="73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5"/>
      <c r="AB30" s="73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5"/>
      <c r="AQ30" s="73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5"/>
      <c r="BF30" s="73"/>
      <c r="BG30" s="74"/>
      <c r="BH30" s="74"/>
      <c r="BI30" s="74"/>
      <c r="BJ30" s="74"/>
      <c r="BK30" s="191"/>
      <c r="BL30" s="191"/>
      <c r="BM30" s="191"/>
      <c r="BN30" s="191"/>
      <c r="BO30" s="191"/>
      <c r="BP30" s="191"/>
      <c r="BQ30" s="191"/>
      <c r="BR30" s="191"/>
      <c r="BS30" s="191"/>
      <c r="BT30" s="192"/>
      <c r="BU30" s="38"/>
      <c r="BV30" s="39"/>
    </row>
    <row r="31" spans="2:74" ht="23.1" customHeight="1">
      <c r="B31" s="150" t="s">
        <v>84</v>
      </c>
      <c r="C31" t="s">
        <v>218</v>
      </c>
      <c r="D31" s="152" t="s">
        <v>129</v>
      </c>
      <c r="E31" s="153">
        <v>4</v>
      </c>
      <c r="F31" s="154">
        <v>4</v>
      </c>
      <c r="G31" s="155">
        <f>E31-F31</f>
        <v>0</v>
      </c>
      <c r="H31" s="212"/>
      <c r="I31" s="235"/>
      <c r="J31" s="235"/>
      <c r="K31" s="236"/>
      <c r="L31" s="201">
        <f t="shared" si="0"/>
        <v>1</v>
      </c>
      <c r="M31" s="73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5"/>
      <c r="AB31" s="73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5"/>
      <c r="AQ31" s="73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5"/>
      <c r="BF31" s="73"/>
      <c r="BG31" s="74"/>
      <c r="BH31" s="74"/>
      <c r="BI31" s="74"/>
      <c r="BJ31" s="74"/>
      <c r="BK31" s="191"/>
      <c r="BL31" s="191"/>
      <c r="BM31" s="191"/>
      <c r="BN31" s="191"/>
      <c r="BO31" s="191"/>
      <c r="BP31" s="191"/>
      <c r="BQ31" s="191"/>
      <c r="BR31" s="191"/>
      <c r="BS31" s="191"/>
      <c r="BT31" s="192"/>
      <c r="BU31" s="38"/>
      <c r="BV31" s="39"/>
    </row>
    <row r="32" spans="2:74" ht="23.1" customHeight="1">
      <c r="B32" s="150" t="s">
        <v>85</v>
      </c>
      <c r="C32" t="s">
        <v>219</v>
      </c>
      <c r="D32" s="152" t="s">
        <v>129</v>
      </c>
      <c r="E32" s="153">
        <v>3</v>
      </c>
      <c r="F32" s="154">
        <v>3</v>
      </c>
      <c r="G32" s="155">
        <f t="shared" ref="G32:G33" si="1">E32-F32</f>
        <v>0</v>
      </c>
      <c r="H32" s="212"/>
      <c r="I32" s="235"/>
      <c r="J32" s="235"/>
      <c r="K32" s="236"/>
      <c r="L32" s="201">
        <f t="shared" si="0"/>
        <v>1</v>
      </c>
      <c r="M32" s="73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5"/>
      <c r="AB32" s="73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5"/>
      <c r="AQ32" s="73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5"/>
      <c r="BF32" s="73"/>
      <c r="BG32" s="74"/>
      <c r="BH32" s="74"/>
      <c r="BI32" s="74"/>
      <c r="BJ32" s="74"/>
      <c r="BK32" s="191"/>
      <c r="BL32" s="191"/>
      <c r="BM32" s="191"/>
      <c r="BN32" s="191"/>
      <c r="BO32" s="191"/>
      <c r="BP32" s="191"/>
      <c r="BQ32" s="191"/>
      <c r="BR32" s="191"/>
      <c r="BS32" s="191"/>
      <c r="BT32" s="192"/>
      <c r="BU32" s="38"/>
      <c r="BV32" s="39"/>
    </row>
    <row r="33" spans="2:74" ht="23.1" customHeight="1">
      <c r="B33" s="150" t="s">
        <v>86</v>
      </c>
      <c r="C33" t="s">
        <v>220</v>
      </c>
      <c r="D33" s="152" t="s">
        <v>129</v>
      </c>
      <c r="E33" s="153">
        <v>1</v>
      </c>
      <c r="F33" s="154">
        <v>1</v>
      </c>
      <c r="G33" s="155">
        <f t="shared" si="1"/>
        <v>0</v>
      </c>
      <c r="H33" s="212"/>
      <c r="I33" s="235"/>
      <c r="J33" s="235"/>
      <c r="K33" s="236"/>
      <c r="L33" s="201">
        <f t="shared" si="0"/>
        <v>1</v>
      </c>
      <c r="M33" s="73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5"/>
      <c r="AB33" s="73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5"/>
      <c r="AQ33" s="73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5"/>
      <c r="BF33" s="73"/>
      <c r="BG33" s="74"/>
      <c r="BH33" s="74"/>
      <c r="BI33" s="74"/>
      <c r="BJ33" s="74"/>
      <c r="BK33" s="191"/>
      <c r="BL33" s="191"/>
      <c r="BM33" s="191"/>
      <c r="BN33" s="191"/>
      <c r="BO33" s="191"/>
      <c r="BP33" s="191"/>
      <c r="BQ33" s="191"/>
      <c r="BR33" s="191"/>
      <c r="BS33" s="191"/>
      <c r="BT33" s="192"/>
      <c r="BU33" s="38"/>
      <c r="BV33" s="39"/>
    </row>
    <row r="34" spans="2:74" ht="23.1" customHeight="1">
      <c r="B34" s="194" t="s">
        <v>193</v>
      </c>
      <c r="C34" s="195" t="s">
        <v>201</v>
      </c>
      <c r="D34" s="196"/>
      <c r="E34" s="197">
        <f>SUM(E35:E37)</f>
        <v>4</v>
      </c>
      <c r="F34" s="198">
        <f>SUM(F35:F37)</f>
        <v>4</v>
      </c>
      <c r="G34" s="199">
        <f>SUM(G35:G37)</f>
        <v>0</v>
      </c>
      <c r="H34" s="200"/>
      <c r="I34" s="206">
        <v>45938</v>
      </c>
      <c r="J34" s="206">
        <v>45944</v>
      </c>
      <c r="K34" s="207">
        <f>J34-I34+1</f>
        <v>7</v>
      </c>
      <c r="L34" s="201">
        <f>IFERROR(F34/E34,"")</f>
        <v>1</v>
      </c>
      <c r="M34" s="73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5"/>
      <c r="AB34" s="73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5"/>
      <c r="AQ34" s="73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5"/>
      <c r="BF34" s="73"/>
      <c r="BG34" s="74"/>
      <c r="BH34" s="74"/>
      <c r="BI34" s="74"/>
      <c r="BJ34" s="74"/>
      <c r="BK34" s="191"/>
      <c r="BL34" s="191"/>
      <c r="BM34" s="191"/>
      <c r="BN34" s="191"/>
      <c r="BO34" s="191"/>
      <c r="BP34" s="191"/>
      <c r="BQ34" s="191"/>
      <c r="BR34" s="191"/>
      <c r="BS34" s="191"/>
      <c r="BT34" s="192"/>
      <c r="BU34" s="38"/>
      <c r="BV34" s="39"/>
    </row>
    <row r="35" spans="2:74" ht="23.1" customHeight="1">
      <c r="B35" s="150" t="s">
        <v>194</v>
      </c>
      <c r="C35" t="s">
        <v>221</v>
      </c>
      <c r="D35" s="152" t="s">
        <v>130</v>
      </c>
      <c r="E35" s="153">
        <v>2</v>
      </c>
      <c r="F35" s="154">
        <v>2</v>
      </c>
      <c r="G35" s="155">
        <f>E35-F35</f>
        <v>0</v>
      </c>
      <c r="H35" s="212"/>
      <c r="I35" s="235"/>
      <c r="J35" s="235"/>
      <c r="K35" s="236"/>
      <c r="L35" s="201">
        <f>IFERROR(F35/E35,"")</f>
        <v>1</v>
      </c>
      <c r="M35" s="73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5"/>
      <c r="AB35" s="73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5"/>
      <c r="AQ35" s="73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5"/>
      <c r="BF35" s="73"/>
      <c r="BG35" s="74"/>
      <c r="BH35" s="74"/>
      <c r="BI35" s="74"/>
      <c r="BJ35" s="74"/>
      <c r="BK35" s="191"/>
      <c r="BL35" s="191"/>
      <c r="BM35" s="191"/>
      <c r="BN35" s="191"/>
      <c r="BO35" s="191"/>
      <c r="BP35" s="191"/>
      <c r="BQ35" s="191"/>
      <c r="BR35" s="191"/>
      <c r="BS35" s="191"/>
      <c r="BT35" s="192"/>
      <c r="BU35" s="38"/>
      <c r="BV35" s="39"/>
    </row>
    <row r="36" spans="2:74" ht="23.1" customHeight="1">
      <c r="B36" s="150" t="s">
        <v>195</v>
      </c>
      <c r="C36" t="s">
        <v>222</v>
      </c>
      <c r="D36" s="152" t="s">
        <v>130</v>
      </c>
      <c r="E36" s="153">
        <v>1</v>
      </c>
      <c r="F36" s="154">
        <v>1</v>
      </c>
      <c r="G36" s="155">
        <f>E36-F36</f>
        <v>0</v>
      </c>
      <c r="H36" s="212"/>
      <c r="I36" s="235"/>
      <c r="J36" s="235"/>
      <c r="K36" s="236"/>
      <c r="L36" s="201">
        <f t="shared" si="0"/>
        <v>1</v>
      </c>
      <c r="M36" s="73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5"/>
      <c r="AB36" s="73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5"/>
      <c r="AQ36" s="73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5"/>
      <c r="BF36" s="73"/>
      <c r="BG36" s="74"/>
      <c r="BH36" s="74"/>
      <c r="BI36" s="74"/>
      <c r="BJ36" s="74"/>
      <c r="BK36" s="191"/>
      <c r="BL36" s="191"/>
      <c r="BM36" s="191"/>
      <c r="BN36" s="191"/>
      <c r="BO36" s="191"/>
      <c r="BP36" s="191"/>
      <c r="BQ36" s="191"/>
      <c r="BR36" s="191"/>
      <c r="BS36" s="191"/>
      <c r="BT36" s="192"/>
      <c r="BU36" s="38"/>
      <c r="BV36" s="39"/>
    </row>
    <row r="37" spans="2:74" ht="23.1" customHeight="1">
      <c r="B37" s="150" t="s">
        <v>196</v>
      </c>
      <c r="C37" t="s">
        <v>223</v>
      </c>
      <c r="D37" s="152" t="s">
        <v>130</v>
      </c>
      <c r="E37" s="153">
        <v>1</v>
      </c>
      <c r="F37" s="154">
        <v>1</v>
      </c>
      <c r="G37" s="155">
        <f t="shared" ref="G37" si="2">E37-F37</f>
        <v>0</v>
      </c>
      <c r="H37" s="212"/>
      <c r="I37" s="235"/>
      <c r="J37" s="235"/>
      <c r="K37" s="236"/>
      <c r="L37" s="201">
        <f t="shared" si="0"/>
        <v>1</v>
      </c>
      <c r="M37" s="73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5"/>
      <c r="AB37" s="73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5"/>
      <c r="AQ37" s="73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5"/>
      <c r="BF37" s="73"/>
      <c r="BG37" s="74"/>
      <c r="BH37" s="74"/>
      <c r="BI37" s="74"/>
      <c r="BJ37" s="74"/>
      <c r="BK37" s="191"/>
      <c r="BL37" s="191"/>
      <c r="BM37" s="191"/>
      <c r="BN37" s="191"/>
      <c r="BO37" s="191"/>
      <c r="BP37" s="191"/>
      <c r="BQ37" s="191"/>
      <c r="BR37" s="191"/>
      <c r="BS37" s="191"/>
      <c r="BT37" s="192"/>
      <c r="BU37" s="38"/>
      <c r="BV37" s="39"/>
    </row>
    <row r="38" spans="2:74" ht="23.1" customHeight="1">
      <c r="B38" s="194" t="s">
        <v>197</v>
      </c>
      <c r="C38" s="195" t="s">
        <v>202</v>
      </c>
      <c r="D38" s="196"/>
      <c r="E38" s="197">
        <f>SUM(E39:E41)</f>
        <v>4</v>
      </c>
      <c r="F38" s="198">
        <f>SUM(F39:F41)</f>
        <v>4</v>
      </c>
      <c r="G38" s="199">
        <f>SUM(G39:G41)</f>
        <v>0</v>
      </c>
      <c r="H38" s="200"/>
      <c r="I38" s="206">
        <v>45938</v>
      </c>
      <c r="J38" s="206">
        <v>45944</v>
      </c>
      <c r="K38" s="207">
        <f>J38-I38+1</f>
        <v>7</v>
      </c>
      <c r="L38" s="201">
        <f t="shared" si="0"/>
        <v>1</v>
      </c>
      <c r="M38" s="73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5"/>
      <c r="AB38" s="73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5"/>
      <c r="AQ38" s="73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5"/>
      <c r="BF38" s="73"/>
      <c r="BG38" s="74"/>
      <c r="BH38" s="74"/>
      <c r="BI38" s="74"/>
      <c r="BJ38" s="74"/>
      <c r="BK38" s="191"/>
      <c r="BL38" s="191"/>
      <c r="BM38" s="191"/>
      <c r="BN38" s="191"/>
      <c r="BO38" s="191"/>
      <c r="BP38" s="191"/>
      <c r="BQ38" s="191"/>
      <c r="BR38" s="191"/>
      <c r="BS38" s="191"/>
      <c r="BT38" s="192"/>
      <c r="BU38" s="38"/>
      <c r="BV38" s="39"/>
    </row>
    <row r="39" spans="2:74" ht="23.1" customHeight="1">
      <c r="B39" s="150" t="s">
        <v>198</v>
      </c>
      <c r="C39" t="s">
        <v>224</v>
      </c>
      <c r="D39" s="152" t="s">
        <v>130</v>
      </c>
      <c r="E39" s="153">
        <v>2</v>
      </c>
      <c r="F39" s="154">
        <v>2</v>
      </c>
      <c r="G39" s="155">
        <f>E39-F39</f>
        <v>0</v>
      </c>
      <c r="H39" s="212"/>
      <c r="I39" s="157"/>
      <c r="J39" s="158"/>
      <c r="K39" s="213"/>
      <c r="L39" s="201">
        <f>IFERROR(F39/E39,"")</f>
        <v>1</v>
      </c>
      <c r="M39" s="73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75"/>
      <c r="AB39" s="73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5"/>
      <c r="AQ39" s="73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5"/>
      <c r="BF39" s="73"/>
      <c r="BG39" s="74"/>
      <c r="BH39" s="74"/>
      <c r="BI39" s="74"/>
      <c r="BJ39" s="74"/>
      <c r="BK39" s="191"/>
      <c r="BL39" s="191"/>
      <c r="BM39" s="191"/>
      <c r="BN39" s="191"/>
      <c r="BO39" s="191"/>
      <c r="BP39" s="191"/>
      <c r="BQ39" s="191"/>
      <c r="BR39" s="191"/>
      <c r="BS39" s="191"/>
      <c r="BT39" s="192"/>
      <c r="BU39" s="38"/>
      <c r="BV39" s="39"/>
    </row>
    <row r="40" spans="2:74" ht="23.1" customHeight="1">
      <c r="B40" s="150" t="s">
        <v>199</v>
      </c>
      <c r="C40" t="s">
        <v>225</v>
      </c>
      <c r="D40" s="152" t="s">
        <v>130</v>
      </c>
      <c r="E40" s="153">
        <v>1</v>
      </c>
      <c r="F40" s="154">
        <v>1</v>
      </c>
      <c r="G40" s="155">
        <f>E40-F40</f>
        <v>0</v>
      </c>
      <c r="H40" s="212"/>
      <c r="I40" s="157"/>
      <c r="J40" s="158"/>
      <c r="K40" s="213"/>
      <c r="L40" s="201">
        <f t="shared" si="0"/>
        <v>1</v>
      </c>
      <c r="M40" s="73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5"/>
      <c r="AB40" s="73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5"/>
      <c r="AQ40" s="73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5"/>
      <c r="BF40" s="73"/>
      <c r="BG40" s="74"/>
      <c r="BH40" s="74"/>
      <c r="BI40" s="74"/>
      <c r="BJ40" s="74"/>
      <c r="BK40" s="191"/>
      <c r="BL40" s="191"/>
      <c r="BM40" s="191"/>
      <c r="BN40" s="191"/>
      <c r="BO40" s="191"/>
      <c r="BP40" s="191"/>
      <c r="BQ40" s="191"/>
      <c r="BR40" s="191"/>
      <c r="BS40" s="191"/>
      <c r="BT40" s="192"/>
      <c r="BU40" s="38"/>
      <c r="BV40" s="39"/>
    </row>
    <row r="41" spans="2:74" ht="23.1" customHeight="1">
      <c r="B41" s="150" t="s">
        <v>200</v>
      </c>
      <c r="C41" t="s">
        <v>226</v>
      </c>
      <c r="D41" s="152" t="s">
        <v>130</v>
      </c>
      <c r="E41" s="153">
        <v>1</v>
      </c>
      <c r="F41" s="154">
        <v>1</v>
      </c>
      <c r="G41" s="155">
        <f>E41-F41</f>
        <v>0</v>
      </c>
      <c r="H41" s="212"/>
      <c r="I41" s="157"/>
      <c r="J41" s="158"/>
      <c r="K41" s="213"/>
      <c r="L41" s="201">
        <f t="shared" si="0"/>
        <v>1</v>
      </c>
      <c r="M41" s="73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5"/>
      <c r="AB41" s="73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5"/>
      <c r="AQ41" s="73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5"/>
      <c r="BF41" s="73"/>
      <c r="BG41" s="74"/>
      <c r="BH41" s="74"/>
      <c r="BI41" s="74"/>
      <c r="BJ41" s="74"/>
      <c r="BK41" s="191"/>
      <c r="BL41" s="191"/>
      <c r="BM41" s="191"/>
      <c r="BN41" s="191"/>
      <c r="BO41" s="191"/>
      <c r="BP41" s="191"/>
      <c r="BQ41" s="191"/>
      <c r="BR41" s="191"/>
      <c r="BS41" s="191"/>
      <c r="BT41" s="192"/>
      <c r="BU41" s="38"/>
      <c r="BV41" s="39"/>
    </row>
    <row r="42" spans="2:74" ht="23.1" customHeight="1">
      <c r="B42" s="38"/>
      <c r="C42" s="38"/>
      <c r="D42" s="223"/>
      <c r="E42" s="224" t="s">
        <v>28</v>
      </c>
      <c r="F42" s="224" t="s">
        <v>29</v>
      </c>
      <c r="G42" s="224" t="s">
        <v>30</v>
      </c>
      <c r="H42" s="224" t="s">
        <v>41</v>
      </c>
      <c r="I42" s="224" t="s">
        <v>42</v>
      </c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9"/>
    </row>
    <row r="43" spans="2:74" ht="23.1" customHeight="1">
      <c r="B43" s="38"/>
      <c r="C43" s="36" t="s">
        <v>43</v>
      </c>
      <c r="D43" s="215" t="s">
        <v>44</v>
      </c>
      <c r="E43" s="216">
        <f>SUM(E11:E13,E15:E17,E19:E21,E23:E25,E27:E29,E39:E41)</f>
        <v>40</v>
      </c>
      <c r="F43" s="216">
        <f>SUM(F11:F13,F15:F17,F19:F21,F23:F25,F27:F29,F39:F41)</f>
        <v>40</v>
      </c>
      <c r="G43" s="216">
        <f>SUM(G11:G13,G15:G17,G19:G21,G23:G25,G27:G29,G39:G41)</f>
        <v>0</v>
      </c>
      <c r="H43" s="217">
        <v>7</v>
      </c>
      <c r="I43" s="218">
        <f>E43/H43</f>
        <v>5.7142857142857144</v>
      </c>
      <c r="J43" s="38"/>
      <c r="K43" s="38"/>
      <c r="L43" s="182" t="s">
        <v>45</v>
      </c>
      <c r="M43" s="95">
        <v>1</v>
      </c>
      <c r="N43" s="95">
        <v>2</v>
      </c>
      <c r="O43" s="95">
        <v>3</v>
      </c>
      <c r="P43" s="95">
        <v>4</v>
      </c>
      <c r="Q43" s="95">
        <v>5</v>
      </c>
      <c r="R43" s="95">
        <v>6</v>
      </c>
      <c r="S43" s="95">
        <v>7</v>
      </c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95"/>
      <c r="BE43" s="95"/>
      <c r="BF43" s="95"/>
      <c r="BG43" s="95"/>
      <c r="BH43" s="95"/>
      <c r="BI43" s="95"/>
      <c r="BJ43" s="95"/>
      <c r="BK43" s="95"/>
      <c r="BL43" s="95"/>
      <c r="BM43" s="95"/>
      <c r="BN43" s="95"/>
      <c r="BO43" s="95"/>
      <c r="BP43" s="95"/>
      <c r="BQ43" s="95"/>
      <c r="BR43" s="95"/>
      <c r="BS43" s="95"/>
      <c r="BT43" s="95"/>
      <c r="BU43" s="38"/>
      <c r="BV43" s="137" t="s">
        <v>46</v>
      </c>
    </row>
    <row r="44" spans="2:74" ht="23.1" customHeight="1">
      <c r="B44" s="38"/>
      <c r="C44" s="38"/>
      <c r="D44" s="38"/>
      <c r="E44" s="38"/>
      <c r="F44" s="38"/>
      <c r="G44" s="38"/>
      <c r="H44" s="96" t="s">
        <v>47</v>
      </c>
      <c r="I44" s="38"/>
      <c r="J44" s="38"/>
      <c r="K44" s="38"/>
      <c r="L44" s="182" t="s">
        <v>48</v>
      </c>
      <c r="M44" s="97">
        <f>E43</f>
        <v>40</v>
      </c>
      <c r="N44" s="98">
        <f>M44-I43</f>
        <v>34.285714285714285</v>
      </c>
      <c r="O44" s="98">
        <f>N44-I43</f>
        <v>28.571428571428569</v>
      </c>
      <c r="P44" s="98">
        <f>O44-I43</f>
        <v>22.857142857142854</v>
      </c>
      <c r="Q44" s="98">
        <f>P44-I43</f>
        <v>17.142857142857139</v>
      </c>
      <c r="R44" s="98">
        <f>Q44-I43</f>
        <v>11.428571428571423</v>
      </c>
      <c r="S44" s="98">
        <f>R44-I43</f>
        <v>5.7142857142857091</v>
      </c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8"/>
      <c r="AR44" s="98"/>
      <c r="AS44" s="98"/>
      <c r="AT44" s="98"/>
      <c r="AU44" s="98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98"/>
      <c r="BR44" s="98"/>
      <c r="BS44" s="98"/>
      <c r="BT44" s="98"/>
      <c r="BU44" s="38"/>
      <c r="BV44" s="138" t="s">
        <v>49</v>
      </c>
    </row>
    <row r="45" spans="2:74" ht="23.1" customHeight="1"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182" t="s">
        <v>28</v>
      </c>
      <c r="M45" s="97">
        <f>E43</f>
        <v>40</v>
      </c>
      <c r="N45" s="97">
        <f t="shared" ref="N45:S45" si="3">M47</f>
        <v>34</v>
      </c>
      <c r="O45" s="97">
        <f t="shared" si="3"/>
        <v>30</v>
      </c>
      <c r="P45" s="97">
        <f t="shared" si="3"/>
        <v>24</v>
      </c>
      <c r="Q45" s="97">
        <f t="shared" si="3"/>
        <v>16</v>
      </c>
      <c r="R45" s="97">
        <f t="shared" si="3"/>
        <v>12</v>
      </c>
      <c r="S45" s="97">
        <f t="shared" si="3"/>
        <v>5</v>
      </c>
      <c r="T45" s="97"/>
      <c r="U45" s="97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97"/>
      <c r="AO45" s="97"/>
      <c r="AP45" s="97"/>
      <c r="AQ45" s="97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38"/>
      <c r="BV45" s="139">
        <f>SUM(M45:BT45)</f>
        <v>161</v>
      </c>
    </row>
    <row r="46" spans="2:74" ht="23.1" customHeight="1">
      <c r="B46" s="38"/>
      <c r="C46" s="38"/>
      <c r="D46" s="38"/>
      <c r="E46" s="38"/>
      <c r="F46" s="38"/>
      <c r="G46" s="38"/>
      <c r="H46" s="38"/>
      <c r="I46" s="38"/>
      <c r="J46" s="38"/>
      <c r="K46" s="99" t="s">
        <v>50</v>
      </c>
      <c r="L46" s="182" t="s">
        <v>51</v>
      </c>
      <c r="M46" s="76">
        <v>6</v>
      </c>
      <c r="N46" s="76">
        <v>4</v>
      </c>
      <c r="O46" s="76">
        <v>6</v>
      </c>
      <c r="P46" s="76">
        <v>8</v>
      </c>
      <c r="Q46" s="76">
        <v>4</v>
      </c>
      <c r="R46" s="76">
        <v>7</v>
      </c>
      <c r="S46" s="76">
        <v>5</v>
      </c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  <c r="BH46" s="76"/>
      <c r="BI46" s="76"/>
      <c r="BJ46" s="76"/>
      <c r="BK46" s="76"/>
      <c r="BL46" s="76"/>
      <c r="BM46" s="76"/>
      <c r="BN46" s="76"/>
      <c r="BO46" s="76"/>
      <c r="BP46" s="76"/>
      <c r="BQ46" s="76"/>
      <c r="BR46" s="76"/>
      <c r="BS46" s="76"/>
      <c r="BT46" s="76"/>
      <c r="BU46" s="38"/>
      <c r="BV46" s="140">
        <f>SUM(M46:BT46)</f>
        <v>40</v>
      </c>
    </row>
    <row r="47" spans="2:74" ht="23.1" customHeight="1"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182" t="s">
        <v>52</v>
      </c>
      <c r="M47" s="97">
        <f t="shared" ref="M47:S47" si="4">M45-M46</f>
        <v>34</v>
      </c>
      <c r="N47" s="97">
        <f t="shared" si="4"/>
        <v>30</v>
      </c>
      <c r="O47" s="97">
        <f t="shared" si="4"/>
        <v>24</v>
      </c>
      <c r="P47" s="97">
        <f t="shared" si="4"/>
        <v>16</v>
      </c>
      <c r="Q47" s="97">
        <f t="shared" si="4"/>
        <v>12</v>
      </c>
      <c r="R47" s="97">
        <f t="shared" si="4"/>
        <v>5</v>
      </c>
      <c r="S47" s="97">
        <f t="shared" si="4"/>
        <v>0</v>
      </c>
      <c r="T47" s="97"/>
      <c r="U47" s="97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97"/>
      <c r="AO47" s="97"/>
      <c r="AP47" s="97"/>
      <c r="AQ47" s="97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38"/>
      <c r="BV47" s="140">
        <f>SUM(M47:BT47)</f>
        <v>121</v>
      </c>
    </row>
    <row r="48" spans="2:74" ht="19.5" customHeight="1">
      <c r="C48" s="36" t="s">
        <v>53</v>
      </c>
      <c r="I48" s="210"/>
    </row>
    <row r="49" spans="2:74" ht="381.95" customHeight="1"/>
    <row r="50" spans="2:74" ht="216.95" customHeight="1"/>
    <row r="52" spans="2:74" ht="50.1" customHeight="1">
      <c r="B52" s="253"/>
      <c r="C52" s="254"/>
      <c r="D52" s="254"/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254"/>
      <c r="AR52" s="254"/>
      <c r="AS52" s="254"/>
      <c r="AT52" s="254"/>
      <c r="AU52" s="254"/>
      <c r="AV52" s="254"/>
      <c r="AW52" s="254"/>
      <c r="AX52" s="254"/>
      <c r="AY52" s="254"/>
      <c r="AZ52" s="254"/>
      <c r="BA52" s="254"/>
      <c r="BB52" s="254"/>
      <c r="BC52" s="254"/>
      <c r="BD52" s="254"/>
      <c r="BE52" s="254"/>
      <c r="BF52" s="254"/>
      <c r="BG52" s="254"/>
      <c r="BH52" s="254"/>
      <c r="BI52" s="254"/>
      <c r="BJ52" s="254"/>
      <c r="BK52" s="254"/>
      <c r="BL52" s="254"/>
      <c r="BM52" s="254"/>
      <c r="BN52" s="254"/>
      <c r="BO52" s="254"/>
      <c r="BP52" s="254"/>
      <c r="BQ52" s="254"/>
      <c r="BR52" s="254"/>
      <c r="BS52" s="254"/>
      <c r="BT52" s="254"/>
      <c r="BU52" s="254"/>
      <c r="BV52" s="255"/>
    </row>
  </sheetData>
  <mergeCells count="23">
    <mergeCell ref="BP8:BT8"/>
    <mergeCell ref="B52:BV52"/>
    <mergeCell ref="AL8:AP8"/>
    <mergeCell ref="AQ8:AU8"/>
    <mergeCell ref="AV8:AZ8"/>
    <mergeCell ref="BA8:BE8"/>
    <mergeCell ref="BF8:BJ8"/>
    <mergeCell ref="BK8:BO8"/>
    <mergeCell ref="L8:L9"/>
    <mergeCell ref="M8:Q8"/>
    <mergeCell ref="R8:V8"/>
    <mergeCell ref="W8:AA8"/>
    <mergeCell ref="AB8:AF8"/>
    <mergeCell ref="AG8:AK8"/>
    <mergeCell ref="K3:K7"/>
    <mergeCell ref="B8:B9"/>
    <mergeCell ref="C8:C9"/>
    <mergeCell ref="D8:D9"/>
    <mergeCell ref="E8:G8"/>
    <mergeCell ref="H8:H9"/>
    <mergeCell ref="I8:I9"/>
    <mergeCell ref="J8:J9"/>
    <mergeCell ref="K8:K9"/>
  </mergeCells>
  <phoneticPr fontId="34" type="noConversion"/>
  <conditionalFormatting sqref="L10:L29 L31:L33 L35:L41">
    <cfRule type="dataBar" priority="11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{38F72712-EAF7-43D8-BF57-58E3FA9CFB73}</x14:id>
        </ext>
      </extLst>
    </cfRule>
  </conditionalFormatting>
  <conditionalFormatting sqref="L10:L29 L31:L33 L35:L41">
    <cfRule type="dataBar" priority="12">
      <dataBar>
        <cfvo type="percent" val="1"/>
        <cfvo type="percent" val="100"/>
        <color theme="8" tint="0.59999389629810485"/>
      </dataBar>
    </cfRule>
  </conditionalFormatting>
  <conditionalFormatting sqref="L10:L29 L31:L33 L35:L4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{C166FBB9-9C36-427C-AE93-298BADBCFE70}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{9339EBA1-136C-4282-A0C4-BC22455A9084}</x14:id>
        </ext>
      </extLst>
    </cfRule>
  </conditionalFormatting>
  <conditionalFormatting sqref="L30">
    <cfRule type="dataBar" priority="7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{6F1FB5F7-86BA-4991-A8B1-149B26FAE7C6}</x14:id>
        </ext>
      </extLst>
    </cfRule>
  </conditionalFormatting>
  <conditionalFormatting sqref="L30">
    <cfRule type="dataBar" priority="8">
      <dataBar>
        <cfvo type="percent" val="1"/>
        <cfvo type="percent" val="100"/>
        <color theme="8" tint="0.59999389629810485"/>
      </dataBar>
    </cfRule>
  </conditionalFormatting>
  <conditionalFormatting sqref="L3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{254823BC-A702-4AF5-AA75-89DD3C659C56}</x14:id>
        </ext>
      </extLst>
    </cfRule>
    <cfRule type="dataBar" priority="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{1C4CD6D0-1703-4EB7-83A8-D6967A2DC90E}</x14:id>
        </ext>
      </extLst>
    </cfRule>
  </conditionalFormatting>
  <conditionalFormatting sqref="L34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{1887DA58-88C9-4BA8-9FC9-CED9EC3B6C8D}</x14:id>
        </ext>
      </extLst>
    </cfRule>
  </conditionalFormatting>
  <conditionalFormatting sqref="L34">
    <cfRule type="dataBar" priority="4">
      <dataBar>
        <cfvo type="percent" val="1"/>
        <cfvo type="percent" val="100"/>
        <color theme="8" tint="0.59999389629810485"/>
      </dataBar>
    </cfRule>
  </conditionalFormatting>
  <conditionalFormatting sqref="L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{C46B3AFA-96B2-454A-B5F6-137982DB815F}</x14:id>
        </ext>
      </extLst>
    </cfRule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{37703F78-D4DE-4801-AE96-16F1EFA95CB2}</x14:id>
        </ext>
      </extLst>
    </cfRule>
  </conditionalFormatting>
  <pageMargins left="0.3" right="0.3" top="0.3" bottom="0.3" header="0" footer="0"/>
  <pageSetup scale="32" fitToHeight="0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F72712-EAF7-43D8-BF57-58E3FA9CFB73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L10:L29 L31:L33 L35:L41</xm:sqref>
        </x14:conditionalFormatting>
        <x14:conditionalFormatting xmlns:xm="http://schemas.microsoft.com/office/excel/2006/main">
          <x14:cfRule type="dataBar" id="{C166FBB9-9C36-427C-AE93-298BADBCFE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39EBA1-136C-4282-A0C4-BC22455A9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L10:L29 L31:L33 L35:L41</xm:sqref>
        </x14:conditionalFormatting>
        <x14:conditionalFormatting xmlns:xm="http://schemas.microsoft.com/office/excel/2006/main">
          <x14:cfRule type="dataBar" id="{6F1FB5F7-86BA-4991-A8B1-149B26FAE7C6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L30</xm:sqref>
        </x14:conditionalFormatting>
        <x14:conditionalFormatting xmlns:xm="http://schemas.microsoft.com/office/excel/2006/main">
          <x14:cfRule type="dataBar" id="{254823BC-A702-4AF5-AA75-89DD3C659C56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4CD6D0-1703-4EB7-83A8-D6967A2DC9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L30</xm:sqref>
        </x14:conditionalFormatting>
        <x14:conditionalFormatting xmlns:xm="http://schemas.microsoft.com/office/excel/2006/main">
          <x14:cfRule type="dataBar" id="{1887DA58-88C9-4BA8-9FC9-CED9EC3B6C8D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L34</xm:sqref>
        </x14:conditionalFormatting>
        <x14:conditionalFormatting xmlns:xm="http://schemas.microsoft.com/office/excel/2006/main">
          <x14:cfRule type="dataBar" id="{C46B3AFA-96B2-454A-B5F6-137982DB815F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703F78-D4DE-4801-AE96-16F1EFA95C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FD0BA-F8F2-42DB-A27A-B771AECCDFC2}">
  <sheetPr>
    <tabColor theme="3"/>
    <pageSetUpPr fitToPage="1"/>
  </sheetPr>
  <dimension ref="A1:BV36"/>
  <sheetViews>
    <sheetView showGridLines="0" zoomScaleNormal="100" zoomScalePageLayoutView="70" workbookViewId="0">
      <pane ySplit="1" topLeftCell="A23" activePane="bottomLeft" state="frozen"/>
      <selection pane="bottomLeft" activeCell="AA33" sqref="AA33"/>
    </sheetView>
  </sheetViews>
  <sheetFormatPr baseColWidth="10" defaultColWidth="11.125" defaultRowHeight="15.75"/>
  <cols>
    <col min="1" max="1" width="3.25" style="237" customWidth="1"/>
    <col min="2" max="2" width="10.5" style="237" customWidth="1"/>
    <col min="3" max="3" width="30.25" style="237" customWidth="1"/>
    <col min="4" max="4" width="22" style="237" customWidth="1"/>
    <col min="5" max="8" width="9" style="237" customWidth="1"/>
    <col min="9" max="10" width="10.875" style="237" customWidth="1"/>
    <col min="11" max="11" width="9.75" style="237" customWidth="1"/>
    <col min="12" max="12" width="15" style="237" customWidth="1"/>
    <col min="13" max="72" width="3.875" style="237" customWidth="1"/>
    <col min="73" max="73" width="1" style="237" customWidth="1"/>
    <col min="74" max="74" width="8.5" style="238" customWidth="1"/>
    <col min="75" max="75" width="3.25" style="237" customWidth="1"/>
    <col min="76" max="16384" width="11.125" style="237"/>
  </cols>
  <sheetData>
    <row r="1" spans="1:74" ht="45" customHeight="1">
      <c r="A1" s="31"/>
      <c r="B1" s="32" t="s">
        <v>131</v>
      </c>
      <c r="C1" s="33"/>
      <c r="D1" s="33"/>
      <c r="E1" s="33"/>
      <c r="F1" s="33"/>
      <c r="G1" s="33"/>
      <c r="H1" s="33"/>
      <c r="I1" s="33"/>
      <c r="J1" s="34"/>
      <c r="K1" s="34"/>
      <c r="L1" s="34"/>
      <c r="M1" s="34"/>
      <c r="N1" s="34"/>
      <c r="O1" s="34"/>
      <c r="P1" s="34"/>
    </row>
    <row r="2" spans="1:74" s="238" customFormat="1" ht="35.1" customHeight="1" thickBot="1">
      <c r="B2" s="106"/>
      <c r="C2" s="37"/>
      <c r="D2" s="37"/>
      <c r="E2" s="37"/>
      <c r="F2" s="36"/>
      <c r="G2" s="37"/>
      <c r="H2" s="37"/>
      <c r="I2" s="37"/>
      <c r="J2" s="37"/>
      <c r="K2" s="37"/>
      <c r="L2" s="37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</row>
    <row r="3" spans="1:74" ht="23.1" customHeight="1">
      <c r="B3" s="40"/>
      <c r="C3" s="40"/>
      <c r="D3" s="40"/>
      <c r="E3" s="40"/>
      <c r="F3" s="40"/>
      <c r="G3" s="40"/>
      <c r="H3" s="40"/>
      <c r="I3" s="40"/>
      <c r="J3" s="41"/>
      <c r="K3" s="259" t="s">
        <v>1</v>
      </c>
      <c r="L3" s="42" t="s">
        <v>2</v>
      </c>
      <c r="M3" s="43"/>
      <c r="N3" s="43"/>
      <c r="O3" s="43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6"/>
      <c r="BU3" s="38"/>
      <c r="BV3" s="39"/>
    </row>
    <row r="4" spans="1:74" ht="23.1" customHeight="1">
      <c r="B4" s="40"/>
      <c r="C4" s="40"/>
      <c r="D4" s="40"/>
      <c r="E4" s="40"/>
      <c r="F4" s="40"/>
      <c r="G4" s="40"/>
      <c r="H4" s="40"/>
      <c r="I4" s="40"/>
      <c r="J4" s="41"/>
      <c r="K4" s="260"/>
      <c r="L4" s="47" t="s">
        <v>3</v>
      </c>
      <c r="M4" s="48"/>
      <c r="N4" s="48"/>
      <c r="O4" s="48"/>
      <c r="P4" s="49"/>
      <c r="Q4" s="49"/>
      <c r="R4" s="49"/>
      <c r="S4" s="49"/>
      <c r="T4" s="49"/>
      <c r="U4" s="49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51"/>
      <c r="BU4" s="38"/>
      <c r="BV4" s="39"/>
    </row>
    <row r="5" spans="1:74" ht="23.1" customHeight="1">
      <c r="B5" s="36"/>
      <c r="C5" s="37"/>
      <c r="D5" s="37"/>
      <c r="E5" s="37"/>
      <c r="F5" s="37"/>
      <c r="G5" s="37"/>
      <c r="H5" s="37"/>
      <c r="I5" s="36"/>
      <c r="J5" s="37"/>
      <c r="K5" s="260"/>
      <c r="L5" s="52" t="s">
        <v>4</v>
      </c>
      <c r="M5" s="48"/>
      <c r="N5" s="48"/>
      <c r="O5" s="48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53"/>
      <c r="AB5" s="53"/>
      <c r="AC5" s="53"/>
      <c r="AD5" s="53"/>
      <c r="AE5" s="53"/>
      <c r="AF5" s="53"/>
      <c r="AG5" s="53"/>
      <c r="AH5" s="53"/>
      <c r="AI5" s="53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1"/>
      <c r="BU5" s="38"/>
      <c r="BV5" s="39"/>
    </row>
    <row r="6" spans="1:74" ht="23.1" customHeight="1">
      <c r="B6" s="36"/>
      <c r="C6" s="37"/>
      <c r="D6" s="37"/>
      <c r="E6" s="37"/>
      <c r="F6" s="37"/>
      <c r="G6" s="37"/>
      <c r="H6" s="37"/>
      <c r="I6" s="36"/>
      <c r="J6" s="37"/>
      <c r="K6" s="260"/>
      <c r="L6" s="54" t="s">
        <v>5</v>
      </c>
      <c r="M6" s="48"/>
      <c r="N6" s="48"/>
      <c r="O6" s="48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51"/>
      <c r="BU6" s="38"/>
      <c r="BV6" s="39"/>
    </row>
    <row r="7" spans="1:74" ht="23.1" customHeight="1" thickBot="1">
      <c r="B7" s="36"/>
      <c r="C7" s="37"/>
      <c r="D7" s="37"/>
      <c r="E7" s="37"/>
      <c r="F7" s="37"/>
      <c r="G7" s="37"/>
      <c r="H7" s="37"/>
      <c r="I7" s="36"/>
      <c r="J7" s="37"/>
      <c r="K7" s="261"/>
      <c r="L7" s="56" t="s">
        <v>6</v>
      </c>
      <c r="M7" s="48"/>
      <c r="N7" s="48"/>
      <c r="O7" s="48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57"/>
      <c r="AX7" s="57"/>
      <c r="AY7" s="57"/>
      <c r="AZ7" s="57"/>
      <c r="BA7" s="57"/>
      <c r="BB7" s="57"/>
      <c r="BC7" s="57"/>
      <c r="BD7" s="57"/>
      <c r="BE7" s="57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51"/>
      <c r="BU7" s="38"/>
      <c r="BV7" s="39"/>
    </row>
    <row r="8" spans="1:74" ht="23.1" customHeight="1" thickBot="1">
      <c r="B8" s="242" t="s">
        <v>7</v>
      </c>
      <c r="C8" s="251" t="s">
        <v>8</v>
      </c>
      <c r="D8" s="246" t="s">
        <v>9</v>
      </c>
      <c r="E8" s="256" t="s">
        <v>10</v>
      </c>
      <c r="F8" s="257"/>
      <c r="G8" s="258"/>
      <c r="H8" s="244" t="s">
        <v>11</v>
      </c>
      <c r="I8" s="248" t="s">
        <v>12</v>
      </c>
      <c r="J8" s="249" t="s">
        <v>13</v>
      </c>
      <c r="K8" s="262" t="s">
        <v>14</v>
      </c>
      <c r="L8" s="263" t="s">
        <v>15</v>
      </c>
      <c r="M8" s="265" t="s">
        <v>16</v>
      </c>
      <c r="N8" s="240"/>
      <c r="O8" s="240"/>
      <c r="P8" s="240"/>
      <c r="Q8" s="241"/>
      <c r="R8" s="266" t="s">
        <v>17</v>
      </c>
      <c r="S8" s="240"/>
      <c r="T8" s="240"/>
      <c r="U8" s="240"/>
      <c r="V8" s="241"/>
      <c r="W8" s="266" t="s">
        <v>18</v>
      </c>
      <c r="X8" s="240"/>
      <c r="Y8" s="240"/>
      <c r="Z8" s="240"/>
      <c r="AA8" s="241"/>
      <c r="AB8" s="268" t="s">
        <v>19</v>
      </c>
      <c r="AC8" s="240"/>
      <c r="AD8" s="240"/>
      <c r="AE8" s="240"/>
      <c r="AF8" s="241"/>
      <c r="AG8" s="269" t="s">
        <v>20</v>
      </c>
      <c r="AH8" s="240"/>
      <c r="AI8" s="240"/>
      <c r="AJ8" s="240"/>
      <c r="AK8" s="241"/>
      <c r="AL8" s="269" t="s">
        <v>21</v>
      </c>
      <c r="AM8" s="240"/>
      <c r="AN8" s="240"/>
      <c r="AO8" s="240"/>
      <c r="AP8" s="241"/>
      <c r="AQ8" s="267" t="s">
        <v>22</v>
      </c>
      <c r="AR8" s="240"/>
      <c r="AS8" s="240"/>
      <c r="AT8" s="240"/>
      <c r="AU8" s="241"/>
      <c r="AV8" s="270" t="s">
        <v>23</v>
      </c>
      <c r="AW8" s="240"/>
      <c r="AX8" s="240"/>
      <c r="AY8" s="240"/>
      <c r="AZ8" s="241"/>
      <c r="BA8" s="270" t="s">
        <v>24</v>
      </c>
      <c r="BB8" s="240"/>
      <c r="BC8" s="240"/>
      <c r="BD8" s="240"/>
      <c r="BE8" s="241"/>
      <c r="BF8" s="271" t="s">
        <v>25</v>
      </c>
      <c r="BG8" s="240"/>
      <c r="BH8" s="240"/>
      <c r="BI8" s="240"/>
      <c r="BJ8" s="241"/>
      <c r="BK8" s="239"/>
      <c r="BL8" s="240"/>
      <c r="BM8" s="240"/>
      <c r="BN8" s="240"/>
      <c r="BO8" s="241"/>
      <c r="BP8" s="239"/>
      <c r="BQ8" s="240"/>
      <c r="BR8" s="240"/>
      <c r="BS8" s="240"/>
      <c r="BT8" s="241"/>
      <c r="BU8" s="38"/>
      <c r="BV8" s="39"/>
    </row>
    <row r="9" spans="1:74" ht="23.1" customHeight="1" thickTop="1" thickBot="1">
      <c r="B9" s="243"/>
      <c r="C9" s="252"/>
      <c r="D9" s="247"/>
      <c r="E9" s="58" t="s">
        <v>28</v>
      </c>
      <c r="F9" s="59" t="s">
        <v>29</v>
      </c>
      <c r="G9" s="60" t="s">
        <v>30</v>
      </c>
      <c r="H9" s="245"/>
      <c r="I9" s="241"/>
      <c r="J9" s="250"/>
      <c r="K9" s="250"/>
      <c r="L9" s="264"/>
      <c r="M9" s="61" t="s">
        <v>31</v>
      </c>
      <c r="N9" s="62" t="s">
        <v>32</v>
      </c>
      <c r="O9" s="62" t="s">
        <v>33</v>
      </c>
      <c r="P9" s="62" t="s">
        <v>34</v>
      </c>
      <c r="Q9" s="62" t="s">
        <v>35</v>
      </c>
      <c r="R9" s="62" t="s">
        <v>31</v>
      </c>
      <c r="S9" s="62" t="s">
        <v>32</v>
      </c>
      <c r="T9" s="62" t="s">
        <v>33</v>
      </c>
      <c r="U9" s="62" t="s">
        <v>34</v>
      </c>
      <c r="V9" s="62" t="s">
        <v>35</v>
      </c>
      <c r="W9" s="62" t="s">
        <v>31</v>
      </c>
      <c r="X9" s="62" t="s">
        <v>32</v>
      </c>
      <c r="Y9" s="62" t="s">
        <v>33</v>
      </c>
      <c r="Z9" s="62" t="s">
        <v>34</v>
      </c>
      <c r="AA9" s="63" t="s">
        <v>35</v>
      </c>
      <c r="AB9" s="64" t="s">
        <v>31</v>
      </c>
      <c r="AC9" s="65" t="s">
        <v>32</v>
      </c>
      <c r="AD9" s="65" t="s">
        <v>33</v>
      </c>
      <c r="AE9" s="65" t="s">
        <v>34</v>
      </c>
      <c r="AF9" s="65" t="s">
        <v>35</v>
      </c>
      <c r="AG9" s="65" t="s">
        <v>31</v>
      </c>
      <c r="AH9" s="65" t="s">
        <v>32</v>
      </c>
      <c r="AI9" s="65" t="s">
        <v>33</v>
      </c>
      <c r="AJ9" s="65" t="s">
        <v>34</v>
      </c>
      <c r="AK9" s="65" t="s">
        <v>35</v>
      </c>
      <c r="AL9" s="65" t="s">
        <v>31</v>
      </c>
      <c r="AM9" s="65" t="s">
        <v>32</v>
      </c>
      <c r="AN9" s="65" t="s">
        <v>33</v>
      </c>
      <c r="AO9" s="65" t="s">
        <v>34</v>
      </c>
      <c r="AP9" s="66" t="s">
        <v>35</v>
      </c>
      <c r="AQ9" s="67" t="s">
        <v>31</v>
      </c>
      <c r="AR9" s="68" t="s">
        <v>32</v>
      </c>
      <c r="AS9" s="68" t="s">
        <v>33</v>
      </c>
      <c r="AT9" s="68" t="s">
        <v>34</v>
      </c>
      <c r="AU9" s="68" t="s">
        <v>35</v>
      </c>
      <c r="AV9" s="68" t="s">
        <v>31</v>
      </c>
      <c r="AW9" s="68" t="s">
        <v>32</v>
      </c>
      <c r="AX9" s="68" t="s">
        <v>33</v>
      </c>
      <c r="AY9" s="68" t="s">
        <v>34</v>
      </c>
      <c r="AZ9" s="68" t="s">
        <v>35</v>
      </c>
      <c r="BA9" s="68" t="s">
        <v>31</v>
      </c>
      <c r="BB9" s="68" t="s">
        <v>32</v>
      </c>
      <c r="BC9" s="68" t="s">
        <v>33</v>
      </c>
      <c r="BD9" s="68" t="s">
        <v>34</v>
      </c>
      <c r="BE9" s="69" t="s">
        <v>35</v>
      </c>
      <c r="BF9" s="70" t="s">
        <v>31</v>
      </c>
      <c r="BG9" s="71" t="s">
        <v>32</v>
      </c>
      <c r="BH9" s="71" t="s">
        <v>33</v>
      </c>
      <c r="BI9" s="71" t="s">
        <v>34</v>
      </c>
      <c r="BJ9" s="71" t="s">
        <v>35</v>
      </c>
      <c r="BK9" s="188"/>
      <c r="BL9" s="188"/>
      <c r="BM9" s="188"/>
      <c r="BN9" s="188"/>
      <c r="BO9" s="188"/>
      <c r="BP9" s="188"/>
      <c r="BQ9" s="188"/>
      <c r="BR9" s="188"/>
      <c r="BS9" s="188"/>
      <c r="BT9" s="189"/>
      <c r="BU9" s="38"/>
      <c r="BV9" s="39"/>
    </row>
    <row r="10" spans="1:74" ht="23.1" customHeight="1" thickTop="1">
      <c r="B10" s="202">
        <v>1</v>
      </c>
      <c r="C10" s="203" t="s">
        <v>227</v>
      </c>
      <c r="D10" s="204"/>
      <c r="E10" s="197">
        <f>SUM(E11:E13)</f>
        <v>8</v>
      </c>
      <c r="F10" s="197">
        <f>SUM(F11:F13)</f>
        <v>8</v>
      </c>
      <c r="G10" s="199">
        <f>SUM(G11:G13)</f>
        <v>0</v>
      </c>
      <c r="H10" s="205"/>
      <c r="I10" s="206">
        <v>45943</v>
      </c>
      <c r="J10" s="206">
        <v>45947</v>
      </c>
      <c r="K10" s="207">
        <f>J10-I10+1</f>
        <v>5</v>
      </c>
      <c r="L10" s="201">
        <f t="shared" ref="L10:L25" si="0">IFERROR(F10/E10,"")</f>
        <v>1</v>
      </c>
      <c r="M10" s="73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5"/>
      <c r="AB10" s="73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5"/>
      <c r="AQ10" s="73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5"/>
      <c r="BF10" s="73"/>
      <c r="BG10" s="74"/>
      <c r="BH10" s="74"/>
      <c r="BI10" s="74"/>
      <c r="BJ10" s="74"/>
      <c r="BK10" s="78"/>
      <c r="BL10" s="78"/>
      <c r="BM10" s="78"/>
      <c r="BN10" s="78"/>
      <c r="BO10" s="78"/>
      <c r="BP10" s="78"/>
      <c r="BQ10" s="78"/>
      <c r="BR10" s="78"/>
      <c r="BS10" s="78"/>
      <c r="BT10" s="81"/>
      <c r="BU10" s="38"/>
      <c r="BV10" s="39"/>
    </row>
    <row r="11" spans="1:74" ht="23.1" customHeight="1">
      <c r="B11" s="150" t="s">
        <v>88</v>
      </c>
      <c r="C11" t="s">
        <v>231</v>
      </c>
      <c r="D11" s="152" t="s">
        <v>119</v>
      </c>
      <c r="E11" s="153">
        <v>4</v>
      </c>
      <c r="F11" s="154">
        <v>4</v>
      </c>
      <c r="G11" s="155">
        <f>E11-F11</f>
        <v>0</v>
      </c>
      <c r="H11" s="156"/>
      <c r="I11" s="211"/>
      <c r="J11" s="211"/>
      <c r="K11" s="213"/>
      <c r="L11" s="201">
        <f t="shared" si="0"/>
        <v>1</v>
      </c>
      <c r="M11" s="77"/>
      <c r="N11" s="78"/>
      <c r="O11" s="78"/>
      <c r="P11" s="78"/>
      <c r="Q11" s="79"/>
      <c r="R11" s="79"/>
      <c r="S11" s="79"/>
      <c r="T11" s="79"/>
      <c r="U11" s="80"/>
      <c r="V11" s="80"/>
      <c r="W11" s="78"/>
      <c r="X11" s="78"/>
      <c r="Y11" s="78"/>
      <c r="Z11" s="78"/>
      <c r="AA11" s="81"/>
      <c r="AB11" s="77"/>
      <c r="AC11" s="78"/>
      <c r="AD11" s="78"/>
      <c r="AE11" s="78"/>
      <c r="AF11" s="78"/>
      <c r="AG11" s="82"/>
      <c r="AH11" s="82"/>
      <c r="AI11" s="82"/>
      <c r="AJ11" s="82"/>
      <c r="AK11" s="82"/>
      <c r="AL11" s="78"/>
      <c r="AM11" s="78"/>
      <c r="AN11" s="78"/>
      <c r="AO11" s="78"/>
      <c r="AP11" s="81"/>
      <c r="AQ11" s="77"/>
      <c r="AR11" s="78"/>
      <c r="AS11" s="78"/>
      <c r="AT11" s="78"/>
      <c r="AU11" s="78"/>
      <c r="AV11" s="83"/>
      <c r="AW11" s="83"/>
      <c r="AX11" s="83"/>
      <c r="AY11" s="83"/>
      <c r="AZ11" s="83"/>
      <c r="BA11" s="78"/>
      <c r="BB11" s="78"/>
      <c r="BC11" s="78"/>
      <c r="BD11" s="78"/>
      <c r="BE11" s="81"/>
      <c r="BF11" s="77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81"/>
      <c r="BU11" s="38"/>
      <c r="BV11" s="39"/>
    </row>
    <row r="12" spans="1:74" ht="23.1" customHeight="1">
      <c r="B12" s="150" t="s">
        <v>89</v>
      </c>
      <c r="C12" t="s">
        <v>232</v>
      </c>
      <c r="D12" s="152" t="s">
        <v>119</v>
      </c>
      <c r="E12" s="153">
        <v>3</v>
      </c>
      <c r="F12" s="154">
        <v>3</v>
      </c>
      <c r="G12" s="155">
        <f>E12-F12</f>
        <v>0</v>
      </c>
      <c r="H12" s="163"/>
      <c r="I12" s="211"/>
      <c r="J12" s="211"/>
      <c r="K12" s="213"/>
      <c r="L12" s="201">
        <f t="shared" si="0"/>
        <v>1</v>
      </c>
      <c r="M12" s="77"/>
      <c r="N12" s="78"/>
      <c r="O12" s="78"/>
      <c r="P12" s="78"/>
      <c r="Q12" s="78"/>
      <c r="R12" s="80"/>
      <c r="S12" s="80"/>
      <c r="T12" s="79"/>
      <c r="U12" s="79"/>
      <c r="V12" s="80"/>
      <c r="W12" s="78"/>
      <c r="X12" s="78"/>
      <c r="Y12" s="78"/>
      <c r="Z12" s="78"/>
      <c r="AA12" s="81"/>
      <c r="AB12" s="77"/>
      <c r="AC12" s="78"/>
      <c r="AD12" s="78"/>
      <c r="AE12" s="78"/>
      <c r="AF12" s="78"/>
      <c r="AG12" s="82"/>
      <c r="AH12" s="82"/>
      <c r="AI12" s="82"/>
      <c r="AJ12" s="82"/>
      <c r="AK12" s="82"/>
      <c r="AL12" s="78"/>
      <c r="AM12" s="78"/>
      <c r="AN12" s="78"/>
      <c r="AO12" s="78"/>
      <c r="AP12" s="81"/>
      <c r="AQ12" s="77"/>
      <c r="AR12" s="78"/>
      <c r="AS12" s="78"/>
      <c r="AT12" s="78"/>
      <c r="AU12" s="78"/>
      <c r="AV12" s="83"/>
      <c r="AW12" s="83"/>
      <c r="AX12" s="83"/>
      <c r="AY12" s="83"/>
      <c r="AZ12" s="83"/>
      <c r="BA12" s="78"/>
      <c r="BB12" s="78"/>
      <c r="BC12" s="78"/>
      <c r="BD12" s="78"/>
      <c r="BE12" s="81"/>
      <c r="BF12" s="77"/>
      <c r="BG12" s="78"/>
      <c r="BH12" s="78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81"/>
      <c r="BU12" s="38"/>
      <c r="BV12" s="39"/>
    </row>
    <row r="13" spans="1:74" ht="23.1" customHeight="1">
      <c r="B13" s="150" t="s">
        <v>90</v>
      </c>
      <c r="C13" t="s">
        <v>239</v>
      </c>
      <c r="D13" s="152" t="s">
        <v>119</v>
      </c>
      <c r="E13" s="153">
        <v>1</v>
      </c>
      <c r="F13" s="154">
        <v>1</v>
      </c>
      <c r="G13" s="155">
        <f>E13-F13</f>
        <v>0</v>
      </c>
      <c r="H13" s="156"/>
      <c r="I13" s="211"/>
      <c r="J13" s="211"/>
      <c r="K13" s="213"/>
      <c r="L13" s="201">
        <f t="shared" si="0"/>
        <v>1</v>
      </c>
      <c r="M13" s="77"/>
      <c r="N13" s="78"/>
      <c r="O13" s="78"/>
      <c r="P13" s="78"/>
      <c r="Q13" s="78"/>
      <c r="R13" s="80"/>
      <c r="S13" s="80"/>
      <c r="T13" s="79"/>
      <c r="U13" s="79"/>
      <c r="V13" s="79"/>
      <c r="W13" s="79"/>
      <c r="X13" s="79"/>
      <c r="Y13" s="79"/>
      <c r="Z13" s="79"/>
      <c r="AA13" s="81"/>
      <c r="AB13" s="77"/>
      <c r="AC13" s="78"/>
      <c r="AD13" s="78"/>
      <c r="AE13" s="78"/>
      <c r="AF13" s="78"/>
      <c r="AG13" s="82"/>
      <c r="AH13" s="82"/>
      <c r="AI13" s="82"/>
      <c r="AJ13" s="82"/>
      <c r="AK13" s="82"/>
      <c r="AL13" s="78"/>
      <c r="AM13" s="78"/>
      <c r="AN13" s="78"/>
      <c r="AO13" s="78"/>
      <c r="AP13" s="81"/>
      <c r="AQ13" s="77"/>
      <c r="AR13" s="78"/>
      <c r="AS13" s="78"/>
      <c r="AT13" s="78"/>
      <c r="AU13" s="78"/>
      <c r="AV13" s="83"/>
      <c r="AW13" s="83"/>
      <c r="AX13" s="83"/>
      <c r="AY13" s="83"/>
      <c r="AZ13" s="83"/>
      <c r="BA13" s="78"/>
      <c r="BB13" s="78"/>
      <c r="BC13" s="78"/>
      <c r="BD13" s="78"/>
      <c r="BE13" s="81"/>
      <c r="BF13" s="77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81"/>
      <c r="BU13" s="38"/>
      <c r="BV13" s="39"/>
    </row>
    <row r="14" spans="1:74" ht="23.1" customHeight="1">
      <c r="B14" s="194" t="s">
        <v>92</v>
      </c>
      <c r="C14" s="203" t="s">
        <v>228</v>
      </c>
      <c r="D14" s="196"/>
      <c r="E14" s="197">
        <f>SUM(E15:E17)</f>
        <v>8</v>
      </c>
      <c r="F14" s="197">
        <f>SUM(F15:F17)</f>
        <v>8</v>
      </c>
      <c r="G14" s="199">
        <f>SUM(G15:G17)</f>
        <v>0</v>
      </c>
      <c r="H14" s="200"/>
      <c r="I14" s="206">
        <v>45943</v>
      </c>
      <c r="J14" s="206">
        <v>45947</v>
      </c>
      <c r="K14" s="207">
        <f>J14-I14+1</f>
        <v>5</v>
      </c>
      <c r="L14" s="201">
        <f t="shared" si="0"/>
        <v>1</v>
      </c>
      <c r="M14" s="73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5"/>
      <c r="AB14" s="73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5"/>
      <c r="AQ14" s="73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5"/>
      <c r="BF14" s="73"/>
      <c r="BG14" s="74"/>
      <c r="BH14" s="74"/>
      <c r="BI14" s="74"/>
      <c r="BJ14" s="74"/>
      <c r="BK14" s="78"/>
      <c r="BL14" s="78"/>
      <c r="BM14" s="78"/>
      <c r="BN14" s="78"/>
      <c r="BO14" s="78"/>
      <c r="BP14" s="78"/>
      <c r="BQ14" s="78"/>
      <c r="BR14" s="78"/>
      <c r="BS14" s="78"/>
      <c r="BT14" s="81"/>
      <c r="BU14" s="38"/>
      <c r="BV14" s="39"/>
    </row>
    <row r="15" spans="1:74" ht="23.1" customHeight="1">
      <c r="B15" s="150">
        <v>2.1</v>
      </c>
      <c r="C15" t="s">
        <v>233</v>
      </c>
      <c r="D15" s="152" t="s">
        <v>119</v>
      </c>
      <c r="E15" s="153">
        <v>4</v>
      </c>
      <c r="F15" s="154">
        <v>4</v>
      </c>
      <c r="G15" s="155">
        <f>E15-F15</f>
        <v>0</v>
      </c>
      <c r="H15" s="156"/>
      <c r="I15" s="187"/>
      <c r="J15" s="187"/>
      <c r="K15" s="213"/>
      <c r="L15" s="201">
        <f t="shared" si="0"/>
        <v>1</v>
      </c>
      <c r="M15" s="77"/>
      <c r="N15" s="78"/>
      <c r="O15" s="78"/>
      <c r="P15" s="78"/>
      <c r="Q15" s="78"/>
      <c r="R15" s="80"/>
      <c r="S15" s="80"/>
      <c r="T15" s="80"/>
      <c r="U15" s="80"/>
      <c r="V15" s="80"/>
      <c r="W15" s="78"/>
      <c r="X15" s="78"/>
      <c r="Y15" s="78"/>
      <c r="Z15" s="78"/>
      <c r="AA15" s="81"/>
      <c r="AB15" s="84"/>
      <c r="AC15" s="85"/>
      <c r="AD15" s="85"/>
      <c r="AE15" s="85"/>
      <c r="AF15" s="85"/>
      <c r="AG15" s="82"/>
      <c r="AH15" s="82"/>
      <c r="AI15" s="82"/>
      <c r="AJ15" s="82"/>
      <c r="AK15" s="82"/>
      <c r="AL15" s="78"/>
      <c r="AM15" s="78"/>
      <c r="AN15" s="78"/>
      <c r="AO15" s="78"/>
      <c r="AP15" s="81"/>
      <c r="AQ15" s="77"/>
      <c r="AR15" s="78"/>
      <c r="AS15" s="78"/>
      <c r="AT15" s="78"/>
      <c r="AU15" s="78"/>
      <c r="AV15" s="83"/>
      <c r="AW15" s="83"/>
      <c r="AX15" s="83"/>
      <c r="AY15" s="83"/>
      <c r="AZ15" s="83"/>
      <c r="BA15" s="78"/>
      <c r="BB15" s="78"/>
      <c r="BC15" s="78"/>
      <c r="BD15" s="78"/>
      <c r="BE15" s="81"/>
      <c r="BF15" s="77"/>
      <c r="BG15" s="78"/>
      <c r="BH15" s="78"/>
      <c r="BI15" s="78"/>
      <c r="BJ15" s="78"/>
      <c r="BK15" s="78"/>
      <c r="BL15" s="78"/>
      <c r="BM15" s="78"/>
      <c r="BN15" s="78"/>
      <c r="BO15" s="78"/>
      <c r="BP15" s="78"/>
      <c r="BQ15" s="78"/>
      <c r="BR15" s="78"/>
      <c r="BS15" s="78"/>
      <c r="BT15" s="81"/>
      <c r="BU15" s="38"/>
      <c r="BV15" s="39"/>
    </row>
    <row r="16" spans="1:74" ht="23.1" customHeight="1">
      <c r="B16" s="150">
        <v>2.2000000000000002</v>
      </c>
      <c r="C16" t="s">
        <v>234</v>
      </c>
      <c r="D16" s="152" t="s">
        <v>119</v>
      </c>
      <c r="E16" s="153">
        <v>3</v>
      </c>
      <c r="F16" s="154">
        <v>3</v>
      </c>
      <c r="G16" s="155">
        <f>E16-F16</f>
        <v>0</v>
      </c>
      <c r="H16" s="156"/>
      <c r="I16" s="187"/>
      <c r="J16" s="187"/>
      <c r="K16" s="213"/>
      <c r="L16" s="201">
        <f t="shared" si="0"/>
        <v>1</v>
      </c>
      <c r="M16" s="77"/>
      <c r="N16" s="78"/>
      <c r="O16" s="78"/>
      <c r="P16" s="78"/>
      <c r="Q16" s="78"/>
      <c r="R16" s="80"/>
      <c r="S16" s="80"/>
      <c r="T16" s="80"/>
      <c r="U16" s="80"/>
      <c r="V16" s="80"/>
      <c r="W16" s="78"/>
      <c r="X16" s="78"/>
      <c r="Y16" s="78"/>
      <c r="Z16" s="78"/>
      <c r="AA16" s="81"/>
      <c r="AB16" s="77"/>
      <c r="AC16" s="78"/>
      <c r="AD16" s="78"/>
      <c r="AE16" s="78"/>
      <c r="AF16" s="78"/>
      <c r="AG16" s="85"/>
      <c r="AH16" s="85"/>
      <c r="AI16" s="85"/>
      <c r="AJ16" s="85"/>
      <c r="AK16" s="85"/>
      <c r="AL16" s="78"/>
      <c r="AM16" s="78"/>
      <c r="AN16" s="78"/>
      <c r="AO16" s="78"/>
      <c r="AP16" s="81"/>
      <c r="AQ16" s="77"/>
      <c r="AR16" s="78"/>
      <c r="AS16" s="78"/>
      <c r="AT16" s="78"/>
      <c r="AU16" s="78"/>
      <c r="AV16" s="83"/>
      <c r="AW16" s="83"/>
      <c r="AX16" s="83"/>
      <c r="AY16" s="83"/>
      <c r="AZ16" s="83"/>
      <c r="BA16" s="78"/>
      <c r="BB16" s="78"/>
      <c r="BC16" s="78"/>
      <c r="BD16" s="78"/>
      <c r="BE16" s="81"/>
      <c r="BF16" s="77"/>
      <c r="BG16" s="78"/>
      <c r="BH16" s="78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81"/>
      <c r="BU16" s="38"/>
      <c r="BV16" s="39"/>
    </row>
    <row r="17" spans="2:74" ht="23.1" customHeight="1">
      <c r="B17" s="150">
        <v>2.2999999999999998</v>
      </c>
      <c r="C17" t="s">
        <v>240</v>
      </c>
      <c r="D17" s="152" t="s">
        <v>119</v>
      </c>
      <c r="E17" s="153">
        <v>1</v>
      </c>
      <c r="F17" s="154">
        <v>1</v>
      </c>
      <c r="G17" s="155">
        <f>E17-F17</f>
        <v>0</v>
      </c>
      <c r="H17" s="156"/>
      <c r="I17" s="187"/>
      <c r="J17" s="187"/>
      <c r="K17" s="213"/>
      <c r="L17" s="201">
        <f t="shared" si="0"/>
        <v>1</v>
      </c>
      <c r="M17" s="77"/>
      <c r="N17" s="78"/>
      <c r="O17" s="78"/>
      <c r="P17" s="78"/>
      <c r="Q17" s="78"/>
      <c r="R17" s="80"/>
      <c r="S17" s="80"/>
      <c r="T17" s="80"/>
      <c r="U17" s="80"/>
      <c r="V17" s="80"/>
      <c r="W17" s="78"/>
      <c r="X17" s="78"/>
      <c r="Y17" s="78"/>
      <c r="Z17" s="78"/>
      <c r="AA17" s="81"/>
      <c r="AB17" s="77"/>
      <c r="AC17" s="78"/>
      <c r="AD17" s="78"/>
      <c r="AE17" s="78"/>
      <c r="AF17" s="78"/>
      <c r="AG17" s="82"/>
      <c r="AH17" s="82"/>
      <c r="AI17" s="82"/>
      <c r="AJ17" s="82"/>
      <c r="AK17" s="82"/>
      <c r="AL17" s="78"/>
      <c r="AM17" s="78"/>
      <c r="AN17" s="78"/>
      <c r="AO17" s="78"/>
      <c r="AP17" s="81"/>
      <c r="AQ17" s="77"/>
      <c r="AR17" s="78"/>
      <c r="AS17" s="78"/>
      <c r="AT17" s="78"/>
      <c r="AU17" s="78"/>
      <c r="AV17" s="83"/>
      <c r="AW17" s="83"/>
      <c r="AX17" s="83"/>
      <c r="AY17" s="83"/>
      <c r="AZ17" s="83"/>
      <c r="BA17" s="78"/>
      <c r="BB17" s="78"/>
      <c r="BC17" s="78"/>
      <c r="BD17" s="78"/>
      <c r="BE17" s="81"/>
      <c r="BF17" s="77"/>
      <c r="BG17" s="78"/>
      <c r="BH17" s="78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81"/>
      <c r="BU17" s="38"/>
      <c r="BV17" s="39"/>
    </row>
    <row r="18" spans="2:74" ht="23.1" customHeight="1">
      <c r="B18" s="194">
        <v>3</v>
      </c>
      <c r="C18" s="203" t="s">
        <v>229</v>
      </c>
      <c r="D18" s="196"/>
      <c r="E18" s="197">
        <f>SUM(E19:E21)</f>
        <v>8</v>
      </c>
      <c r="F18" s="197">
        <f>SUM(F19:F21)</f>
        <v>8</v>
      </c>
      <c r="G18" s="199">
        <f>SUM(G19:G21)</f>
        <v>0</v>
      </c>
      <c r="H18" s="200"/>
      <c r="I18" s="206">
        <v>45943</v>
      </c>
      <c r="J18" s="206">
        <v>45947</v>
      </c>
      <c r="K18" s="207">
        <f>J18-I18+1</f>
        <v>5</v>
      </c>
      <c r="L18" s="201">
        <f t="shared" si="0"/>
        <v>1</v>
      </c>
      <c r="M18" s="73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5"/>
      <c r="AB18" s="73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5"/>
      <c r="AQ18" s="73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5"/>
      <c r="BF18" s="73"/>
      <c r="BG18" s="74"/>
      <c r="BH18" s="74"/>
      <c r="BI18" s="74"/>
      <c r="BJ18" s="74"/>
      <c r="BK18" s="78"/>
      <c r="BL18" s="78"/>
      <c r="BM18" s="78"/>
      <c r="BN18" s="78"/>
      <c r="BO18" s="78"/>
      <c r="BP18" s="78"/>
      <c r="BQ18" s="78"/>
      <c r="BR18" s="78"/>
      <c r="BS18" s="78"/>
      <c r="BT18" s="81"/>
      <c r="BU18" s="38"/>
      <c r="BV18" s="39"/>
    </row>
    <row r="19" spans="2:74" ht="23.1" customHeight="1">
      <c r="B19" s="150">
        <v>3.1</v>
      </c>
      <c r="C19" t="s">
        <v>235</v>
      </c>
      <c r="D19" s="152" t="s">
        <v>129</v>
      </c>
      <c r="E19" s="153">
        <v>4</v>
      </c>
      <c r="F19" s="154">
        <v>4</v>
      </c>
      <c r="G19" s="155">
        <f>E19-F19</f>
        <v>0</v>
      </c>
      <c r="H19" s="156"/>
      <c r="I19" s="157"/>
      <c r="J19" s="158"/>
      <c r="K19" s="213"/>
      <c r="L19" s="201">
        <f t="shared" si="0"/>
        <v>1</v>
      </c>
      <c r="M19" s="77"/>
      <c r="N19" s="78"/>
      <c r="O19" s="78"/>
      <c r="P19" s="78"/>
      <c r="Q19" s="78"/>
      <c r="R19" s="80"/>
      <c r="S19" s="80"/>
      <c r="T19" s="80"/>
      <c r="U19" s="80"/>
      <c r="V19" s="80"/>
      <c r="W19" s="78"/>
      <c r="X19" s="78"/>
      <c r="Y19" s="78"/>
      <c r="Z19" s="78"/>
      <c r="AA19" s="81"/>
      <c r="AB19" s="77"/>
      <c r="AC19" s="78"/>
      <c r="AD19" s="78"/>
      <c r="AE19" s="78"/>
      <c r="AF19" s="78"/>
      <c r="AG19" s="82"/>
      <c r="AH19" s="82"/>
      <c r="AI19" s="82"/>
      <c r="AJ19" s="82"/>
      <c r="AK19" s="82"/>
      <c r="AL19" s="78"/>
      <c r="AM19" s="78"/>
      <c r="AN19" s="78"/>
      <c r="AO19" s="78"/>
      <c r="AP19" s="81"/>
      <c r="AQ19" s="77"/>
      <c r="AR19" s="78"/>
      <c r="AS19" s="78"/>
      <c r="AT19" s="78"/>
      <c r="AU19" s="78"/>
      <c r="AV19" s="83"/>
      <c r="AW19" s="83"/>
      <c r="AX19" s="83"/>
      <c r="AY19" s="83"/>
      <c r="AZ19" s="83"/>
      <c r="BA19" s="78"/>
      <c r="BB19" s="78"/>
      <c r="BC19" s="78"/>
      <c r="BD19" s="78"/>
      <c r="BE19" s="81"/>
      <c r="BF19" s="77"/>
      <c r="BG19" s="78"/>
      <c r="BH19" s="78"/>
      <c r="BI19" s="78"/>
      <c r="BJ19" s="78"/>
      <c r="BK19" s="78"/>
      <c r="BL19" s="78"/>
      <c r="BM19" s="78"/>
      <c r="BN19" s="78"/>
      <c r="BO19" s="78"/>
      <c r="BP19" s="78"/>
      <c r="BQ19" s="78"/>
      <c r="BR19" s="78"/>
      <c r="BS19" s="78"/>
      <c r="BT19" s="81"/>
      <c r="BU19" s="38"/>
      <c r="BV19" s="39"/>
    </row>
    <row r="20" spans="2:74" ht="23.1" customHeight="1">
      <c r="B20" s="150">
        <v>3.2</v>
      </c>
      <c r="C20" t="s">
        <v>236</v>
      </c>
      <c r="D20" s="152" t="s">
        <v>129</v>
      </c>
      <c r="E20" s="153">
        <v>2</v>
      </c>
      <c r="F20" s="154">
        <v>2</v>
      </c>
      <c r="G20" s="155">
        <f>E20-F20</f>
        <v>0</v>
      </c>
      <c r="H20" s="156"/>
      <c r="I20" s="157"/>
      <c r="J20" s="158"/>
      <c r="K20" s="213"/>
      <c r="L20" s="201">
        <f t="shared" si="0"/>
        <v>1</v>
      </c>
      <c r="M20" s="77"/>
      <c r="N20" s="78"/>
      <c r="O20" s="78"/>
      <c r="P20" s="78"/>
      <c r="Q20" s="78"/>
      <c r="R20" s="80"/>
      <c r="S20" s="80"/>
      <c r="T20" s="80"/>
      <c r="U20" s="80"/>
      <c r="V20" s="80"/>
      <c r="W20" s="78"/>
      <c r="X20" s="78"/>
      <c r="Y20" s="78"/>
      <c r="Z20" s="78"/>
      <c r="AA20" s="81"/>
      <c r="AB20" s="77"/>
      <c r="AC20" s="78"/>
      <c r="AD20" s="78"/>
      <c r="AE20" s="78"/>
      <c r="AF20" s="78"/>
      <c r="AG20" s="82"/>
      <c r="AH20" s="82"/>
      <c r="AI20" s="82"/>
      <c r="AJ20" s="82"/>
      <c r="AK20" s="82"/>
      <c r="AL20" s="78"/>
      <c r="AM20" s="78"/>
      <c r="AN20" s="78"/>
      <c r="AO20" s="78"/>
      <c r="AP20" s="81"/>
      <c r="AQ20" s="77"/>
      <c r="AR20" s="78"/>
      <c r="AS20" s="78"/>
      <c r="AT20" s="78"/>
      <c r="AU20" s="78"/>
      <c r="AV20" s="83"/>
      <c r="AW20" s="83"/>
      <c r="AX20" s="83"/>
      <c r="AY20" s="83"/>
      <c r="AZ20" s="83"/>
      <c r="BA20" s="78"/>
      <c r="BB20" s="78"/>
      <c r="BC20" s="78"/>
      <c r="BD20" s="78"/>
      <c r="BE20" s="81"/>
      <c r="BF20" s="77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81"/>
      <c r="BU20" s="38"/>
      <c r="BV20" s="39"/>
    </row>
    <row r="21" spans="2:74" ht="23.1" customHeight="1">
      <c r="B21" s="150" t="s">
        <v>147</v>
      </c>
      <c r="C21" t="s">
        <v>241</v>
      </c>
      <c r="D21" s="152" t="s">
        <v>129</v>
      </c>
      <c r="E21" s="153">
        <v>2</v>
      </c>
      <c r="F21" s="154">
        <v>2</v>
      </c>
      <c r="G21" s="155">
        <f>E21-F21</f>
        <v>0</v>
      </c>
      <c r="H21" s="163"/>
      <c r="I21" s="157"/>
      <c r="J21" s="158"/>
      <c r="K21" s="213"/>
      <c r="L21" s="201">
        <f t="shared" si="0"/>
        <v>1</v>
      </c>
      <c r="M21" s="77"/>
      <c r="N21" s="78"/>
      <c r="O21" s="78"/>
      <c r="P21" s="78"/>
      <c r="Q21" s="78"/>
      <c r="R21" s="80"/>
      <c r="S21" s="80"/>
      <c r="T21" s="80"/>
      <c r="U21" s="80"/>
      <c r="V21" s="80"/>
      <c r="W21" s="78"/>
      <c r="X21" s="78"/>
      <c r="Y21" s="78"/>
      <c r="Z21" s="78"/>
      <c r="AA21" s="81"/>
      <c r="AB21" s="77"/>
      <c r="AC21" s="78"/>
      <c r="AD21" s="78"/>
      <c r="AE21" s="78"/>
      <c r="AF21" s="78"/>
      <c r="AG21" s="82"/>
      <c r="AH21" s="82"/>
      <c r="AI21" s="82"/>
      <c r="AJ21" s="82"/>
      <c r="AK21" s="82"/>
      <c r="AL21" s="78"/>
      <c r="AM21" s="78"/>
      <c r="AN21" s="78"/>
      <c r="AO21" s="78"/>
      <c r="AP21" s="81"/>
      <c r="AQ21" s="77"/>
      <c r="AR21" s="78"/>
      <c r="AS21" s="78"/>
      <c r="AT21" s="78"/>
      <c r="AU21" s="78"/>
      <c r="AV21" s="83"/>
      <c r="AW21" s="83"/>
      <c r="AX21" s="83"/>
      <c r="AY21" s="83"/>
      <c r="AZ21" s="83"/>
      <c r="BA21" s="78"/>
      <c r="BB21" s="78"/>
      <c r="BC21" s="78"/>
      <c r="BD21" s="78"/>
      <c r="BE21" s="81"/>
      <c r="BF21" s="77"/>
      <c r="BG21" s="78"/>
      <c r="BH21" s="78"/>
      <c r="BI21" s="78"/>
      <c r="BJ21" s="78"/>
      <c r="BK21" s="78"/>
      <c r="BL21" s="78"/>
      <c r="BM21" s="78"/>
      <c r="BN21" s="78"/>
      <c r="BO21" s="78"/>
      <c r="BP21" s="78"/>
      <c r="BQ21" s="78"/>
      <c r="BR21" s="78"/>
      <c r="BS21" s="78"/>
      <c r="BT21" s="81"/>
      <c r="BU21" s="38"/>
      <c r="BV21" s="39"/>
    </row>
    <row r="22" spans="2:74" ht="23.1" customHeight="1">
      <c r="B22" s="194" t="s">
        <v>73</v>
      </c>
      <c r="C22" s="203" t="s">
        <v>230</v>
      </c>
      <c r="D22" s="196"/>
      <c r="E22" s="197">
        <f>SUM(E23:E25)</f>
        <v>12</v>
      </c>
      <c r="F22" s="197">
        <f>SUM(F23:F25)</f>
        <v>12</v>
      </c>
      <c r="G22" s="199">
        <f>SUM(G23:G25)</f>
        <v>0</v>
      </c>
      <c r="H22" s="200"/>
      <c r="I22" s="206">
        <v>45943</v>
      </c>
      <c r="J22" s="206">
        <v>45947</v>
      </c>
      <c r="K22" s="207">
        <f>J22-I22+1</f>
        <v>5</v>
      </c>
      <c r="L22" s="201">
        <f>IFERROR(F22/E22,"")</f>
        <v>1</v>
      </c>
      <c r="M22" s="73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5"/>
      <c r="AB22" s="73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5"/>
      <c r="AQ22" s="73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5"/>
      <c r="BF22" s="73"/>
      <c r="BG22" s="74"/>
      <c r="BH22" s="74"/>
      <c r="BI22" s="74"/>
      <c r="BJ22" s="74"/>
      <c r="BK22" s="78"/>
      <c r="BL22" s="78"/>
      <c r="BM22" s="78"/>
      <c r="BN22" s="78"/>
      <c r="BO22" s="78"/>
      <c r="BP22" s="78"/>
      <c r="BQ22" s="78"/>
      <c r="BR22" s="78"/>
      <c r="BS22" s="78"/>
      <c r="BT22" s="81"/>
      <c r="BU22" s="38"/>
      <c r="BV22" s="39"/>
    </row>
    <row r="23" spans="2:74" ht="23.1" customHeight="1">
      <c r="B23" s="150" t="s">
        <v>93</v>
      </c>
      <c r="C23" t="s">
        <v>237</v>
      </c>
      <c r="D23" s="152" t="s">
        <v>130</v>
      </c>
      <c r="E23" s="153">
        <v>4</v>
      </c>
      <c r="F23" s="154">
        <v>4</v>
      </c>
      <c r="G23" s="155">
        <f>E23-F23</f>
        <v>0</v>
      </c>
      <c r="H23" s="156"/>
      <c r="I23" s="157"/>
      <c r="J23" s="158"/>
      <c r="K23" s="213"/>
      <c r="L23" s="201">
        <f>IFERROR(F23/E23,"")</f>
        <v>1</v>
      </c>
      <c r="M23" s="77"/>
      <c r="N23" s="78"/>
      <c r="O23" s="78"/>
      <c r="P23" s="78"/>
      <c r="Q23" s="78"/>
      <c r="R23" s="80"/>
      <c r="S23" s="80"/>
      <c r="T23" s="80"/>
      <c r="U23" s="80"/>
      <c r="V23" s="80"/>
      <c r="W23" s="78"/>
      <c r="X23" s="78"/>
      <c r="Y23" s="78"/>
      <c r="Z23" s="78"/>
      <c r="AA23" s="81"/>
      <c r="AB23" s="77"/>
      <c r="AC23" s="78"/>
      <c r="AD23" s="78"/>
      <c r="AE23" s="78"/>
      <c r="AF23" s="78"/>
      <c r="AG23" s="82"/>
      <c r="AH23" s="82"/>
      <c r="AI23" s="82"/>
      <c r="AJ23" s="82"/>
      <c r="AK23" s="82"/>
      <c r="AL23" s="78"/>
      <c r="AM23" s="78"/>
      <c r="AN23" s="78"/>
      <c r="AO23" s="78"/>
      <c r="AP23" s="81"/>
      <c r="AQ23" s="77"/>
      <c r="AR23" s="78"/>
      <c r="AS23" s="78"/>
      <c r="AT23" s="78"/>
      <c r="AU23" s="78"/>
      <c r="AV23" s="83"/>
      <c r="AW23" s="83"/>
      <c r="AX23" s="83"/>
      <c r="AY23" s="83"/>
      <c r="AZ23" s="83"/>
      <c r="BA23" s="78"/>
      <c r="BB23" s="78"/>
      <c r="BC23" s="78"/>
      <c r="BD23" s="78"/>
      <c r="BE23" s="81"/>
      <c r="BF23" s="77"/>
      <c r="BG23" s="78"/>
      <c r="BH23" s="78"/>
      <c r="BI23" s="78"/>
      <c r="BJ23" s="78"/>
      <c r="BK23" s="78"/>
      <c r="BL23" s="78"/>
      <c r="BM23" s="78"/>
      <c r="BN23" s="78"/>
      <c r="BO23" s="78"/>
      <c r="BP23" s="78"/>
      <c r="BQ23" s="78"/>
      <c r="BR23" s="78"/>
      <c r="BS23" s="78"/>
      <c r="BT23" s="81"/>
      <c r="BU23" s="38"/>
      <c r="BV23" s="39"/>
    </row>
    <row r="24" spans="2:74" ht="23.1" customHeight="1">
      <c r="B24" s="150" t="s">
        <v>94</v>
      </c>
      <c r="C24" t="s">
        <v>238</v>
      </c>
      <c r="D24" s="152" t="s">
        <v>130</v>
      </c>
      <c r="E24" s="153">
        <v>4</v>
      </c>
      <c r="F24" s="154">
        <v>4</v>
      </c>
      <c r="G24" s="155">
        <f>E24-F24</f>
        <v>0</v>
      </c>
      <c r="H24" s="156"/>
      <c r="I24" s="157"/>
      <c r="J24" s="158"/>
      <c r="K24" s="213"/>
      <c r="L24" s="201">
        <f t="shared" si="0"/>
        <v>1</v>
      </c>
      <c r="M24" s="77"/>
      <c r="N24" s="78"/>
      <c r="O24" s="78"/>
      <c r="P24" s="78"/>
      <c r="Q24" s="78"/>
      <c r="R24" s="80"/>
      <c r="S24" s="80"/>
      <c r="T24" s="80"/>
      <c r="U24" s="80"/>
      <c r="V24" s="80"/>
      <c r="W24" s="78"/>
      <c r="X24" s="78"/>
      <c r="Y24" s="78"/>
      <c r="Z24" s="78"/>
      <c r="AA24" s="81"/>
      <c r="AB24" s="77"/>
      <c r="AC24" s="78"/>
      <c r="AD24" s="78"/>
      <c r="AE24" s="78"/>
      <c r="AF24" s="78"/>
      <c r="AG24" s="82"/>
      <c r="AH24" s="82"/>
      <c r="AI24" s="82"/>
      <c r="AJ24" s="82"/>
      <c r="AK24" s="82"/>
      <c r="AL24" s="78"/>
      <c r="AM24" s="78"/>
      <c r="AN24" s="78"/>
      <c r="AO24" s="78"/>
      <c r="AP24" s="81"/>
      <c r="AQ24" s="77"/>
      <c r="AR24" s="78"/>
      <c r="AS24" s="78"/>
      <c r="AT24" s="78"/>
      <c r="AU24" s="78"/>
      <c r="AV24" s="83"/>
      <c r="AW24" s="83"/>
      <c r="AX24" s="83"/>
      <c r="AY24" s="83"/>
      <c r="AZ24" s="83"/>
      <c r="BA24" s="78"/>
      <c r="BB24" s="78"/>
      <c r="BC24" s="78"/>
      <c r="BD24" s="78"/>
      <c r="BE24" s="81"/>
      <c r="BF24" s="77"/>
      <c r="BG24" s="78"/>
      <c r="BH24" s="78"/>
      <c r="BI24" s="78"/>
      <c r="BJ24" s="78"/>
      <c r="BK24" s="78"/>
      <c r="BL24" s="78"/>
      <c r="BM24" s="78"/>
      <c r="BN24" s="78"/>
      <c r="BO24" s="78"/>
      <c r="BP24" s="78"/>
      <c r="BQ24" s="78"/>
      <c r="BR24" s="78"/>
      <c r="BS24" s="78"/>
      <c r="BT24" s="81"/>
      <c r="BU24" s="38"/>
      <c r="BV24" s="39"/>
    </row>
    <row r="25" spans="2:74" ht="23.1" customHeight="1">
      <c r="B25" s="150" t="s">
        <v>75</v>
      </c>
      <c r="C25" t="s">
        <v>242</v>
      </c>
      <c r="D25" s="152" t="s">
        <v>130</v>
      </c>
      <c r="E25" s="153">
        <v>4</v>
      </c>
      <c r="F25" s="154">
        <v>4</v>
      </c>
      <c r="G25" s="155">
        <f>E25-F25</f>
        <v>0</v>
      </c>
      <c r="H25" s="156"/>
      <c r="I25" s="157"/>
      <c r="J25" s="158"/>
      <c r="K25" s="213"/>
      <c r="L25" s="201">
        <f t="shared" si="0"/>
        <v>1</v>
      </c>
      <c r="M25" s="77"/>
      <c r="N25" s="78"/>
      <c r="O25" s="78"/>
      <c r="P25" s="78"/>
      <c r="Q25" s="78"/>
      <c r="R25" s="80"/>
      <c r="S25" s="80"/>
      <c r="T25" s="80"/>
      <c r="U25" s="80"/>
      <c r="V25" s="80"/>
      <c r="W25" s="78"/>
      <c r="X25" s="78"/>
      <c r="Y25" s="78"/>
      <c r="Z25" s="78"/>
      <c r="AA25" s="81"/>
      <c r="AB25" s="77"/>
      <c r="AC25" s="78"/>
      <c r="AD25" s="78"/>
      <c r="AE25" s="78"/>
      <c r="AF25" s="78"/>
      <c r="AG25" s="82"/>
      <c r="AH25" s="82"/>
      <c r="AI25" s="82"/>
      <c r="AJ25" s="82"/>
      <c r="AK25" s="82"/>
      <c r="AL25" s="78"/>
      <c r="AM25" s="78"/>
      <c r="AN25" s="78"/>
      <c r="AO25" s="78"/>
      <c r="AP25" s="81"/>
      <c r="AQ25" s="77"/>
      <c r="AR25" s="78"/>
      <c r="AS25" s="78"/>
      <c r="AT25" s="78"/>
      <c r="AU25" s="78"/>
      <c r="AV25" s="83"/>
      <c r="AW25" s="83"/>
      <c r="AX25" s="83"/>
      <c r="AY25" s="83"/>
      <c r="AZ25" s="83"/>
      <c r="BA25" s="78"/>
      <c r="BB25" s="78"/>
      <c r="BC25" s="78"/>
      <c r="BD25" s="78"/>
      <c r="BE25" s="81"/>
      <c r="BF25" s="77"/>
      <c r="BG25" s="78"/>
      <c r="BH25" s="78"/>
      <c r="BI25" s="78"/>
      <c r="BJ25" s="78"/>
      <c r="BK25" s="78"/>
      <c r="BL25" s="78"/>
      <c r="BM25" s="78"/>
      <c r="BN25" s="78"/>
      <c r="BO25" s="78"/>
      <c r="BP25" s="78"/>
      <c r="BQ25" s="78"/>
      <c r="BR25" s="78"/>
      <c r="BS25" s="78"/>
      <c r="BT25" s="81"/>
      <c r="BU25" s="38"/>
      <c r="BV25" s="39"/>
    </row>
    <row r="26" spans="2:74" ht="23.1" customHeight="1">
      <c r="B26" s="38"/>
      <c r="C26" s="38"/>
      <c r="D26" s="223"/>
      <c r="E26" s="224" t="s">
        <v>28</v>
      </c>
      <c r="F26" s="224" t="s">
        <v>29</v>
      </c>
      <c r="G26" s="224" t="s">
        <v>30</v>
      </c>
      <c r="H26" s="224" t="s">
        <v>41</v>
      </c>
      <c r="I26" s="224" t="s">
        <v>42</v>
      </c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9"/>
    </row>
    <row r="27" spans="2:74" ht="23.1" customHeight="1">
      <c r="B27" s="38"/>
      <c r="C27" s="36" t="s">
        <v>43</v>
      </c>
      <c r="D27" s="215" t="s">
        <v>44</v>
      </c>
      <c r="E27" s="216">
        <f>SUM(E11:E13,E15:E17,E19:E21,E23:E25)</f>
        <v>36</v>
      </c>
      <c r="F27" s="216">
        <f>SUM(F11:F13,F15:F17,F19:F21,F23:F25)</f>
        <v>36</v>
      </c>
      <c r="G27" s="216">
        <f>SUM(G11:G13,G15:G17,G19:G21,G23:G25)</f>
        <v>0</v>
      </c>
      <c r="H27" s="217">
        <v>5</v>
      </c>
      <c r="I27" s="218">
        <f>E27/H27</f>
        <v>7.2</v>
      </c>
      <c r="J27" s="38"/>
      <c r="K27" s="38"/>
      <c r="L27" s="182" t="s">
        <v>45</v>
      </c>
      <c r="M27" s="95">
        <v>1</v>
      </c>
      <c r="N27" s="95">
        <v>2</v>
      </c>
      <c r="O27" s="95">
        <v>3</v>
      </c>
      <c r="P27" s="95">
        <v>4</v>
      </c>
      <c r="Q27" s="95">
        <v>5</v>
      </c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95"/>
      <c r="BQ27" s="95"/>
      <c r="BR27" s="95"/>
      <c r="BS27" s="95"/>
      <c r="BT27" s="95"/>
      <c r="BU27" s="38"/>
      <c r="BV27" s="137" t="s">
        <v>46</v>
      </c>
    </row>
    <row r="28" spans="2:74" ht="23.1" customHeight="1">
      <c r="B28" s="38"/>
      <c r="C28" s="38"/>
      <c r="D28" s="38"/>
      <c r="E28" s="38"/>
      <c r="F28" s="38"/>
      <c r="G28" s="38"/>
      <c r="H28" s="96" t="s">
        <v>47</v>
      </c>
      <c r="I28" s="38"/>
      <c r="J28" s="38"/>
      <c r="K28" s="38"/>
      <c r="L28" s="182" t="s">
        <v>48</v>
      </c>
      <c r="M28" s="97">
        <f>E27</f>
        <v>36</v>
      </c>
      <c r="N28" s="98">
        <f>M28-I27</f>
        <v>28.8</v>
      </c>
      <c r="O28" s="98">
        <f>N28-I27</f>
        <v>21.6</v>
      </c>
      <c r="P28" s="98">
        <f>O28-I27</f>
        <v>14.400000000000002</v>
      </c>
      <c r="Q28" s="98">
        <f>P28-I27</f>
        <v>7.200000000000002</v>
      </c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  <c r="AD28" s="98"/>
      <c r="AE28" s="98"/>
      <c r="AF28" s="98"/>
      <c r="AG28" s="98"/>
      <c r="AH28" s="98"/>
      <c r="AI28" s="98"/>
      <c r="AJ28" s="98"/>
      <c r="AK28" s="98"/>
      <c r="AL28" s="98"/>
      <c r="AM28" s="98"/>
      <c r="AN28" s="98"/>
      <c r="AO28" s="98"/>
      <c r="AP28" s="98"/>
      <c r="AQ28" s="98"/>
      <c r="AR28" s="98"/>
      <c r="AS28" s="98"/>
      <c r="AT28" s="98"/>
      <c r="AU28" s="98"/>
      <c r="AV28" s="98"/>
      <c r="AW28" s="98"/>
      <c r="AX28" s="98"/>
      <c r="AY28" s="98"/>
      <c r="AZ28" s="98"/>
      <c r="BA28" s="98"/>
      <c r="BB28" s="98"/>
      <c r="BC28" s="98"/>
      <c r="BD28" s="98"/>
      <c r="BE28" s="98"/>
      <c r="BF28" s="98"/>
      <c r="BG28" s="98"/>
      <c r="BH28" s="98"/>
      <c r="BI28" s="98"/>
      <c r="BJ28" s="98"/>
      <c r="BK28" s="98"/>
      <c r="BL28" s="98"/>
      <c r="BM28" s="98"/>
      <c r="BN28" s="98"/>
      <c r="BO28" s="98"/>
      <c r="BP28" s="98"/>
      <c r="BQ28" s="98"/>
      <c r="BR28" s="98"/>
      <c r="BS28" s="98"/>
      <c r="BT28" s="98"/>
      <c r="BU28" s="38"/>
      <c r="BV28" s="138" t="s">
        <v>49</v>
      </c>
    </row>
    <row r="29" spans="2:74" ht="23.1" customHeight="1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182" t="s">
        <v>28</v>
      </c>
      <c r="M29" s="97">
        <f>E27</f>
        <v>36</v>
      </c>
      <c r="N29" s="97">
        <f t="shared" ref="N29:S29" si="1">M31</f>
        <v>24</v>
      </c>
      <c r="O29" s="97">
        <f t="shared" si="1"/>
        <v>14</v>
      </c>
      <c r="P29" s="97">
        <f t="shared" si="1"/>
        <v>3</v>
      </c>
      <c r="Q29" s="97">
        <f t="shared" si="1"/>
        <v>0</v>
      </c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97"/>
      <c r="AO29" s="97"/>
      <c r="AP29" s="97"/>
      <c r="AQ29" s="97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38"/>
      <c r="BV29" s="139">
        <f>SUM(M29:BT29)</f>
        <v>77</v>
      </c>
    </row>
    <row r="30" spans="2:74" ht="23.1" customHeight="1">
      <c r="B30" s="38"/>
      <c r="C30" s="38"/>
      <c r="D30" s="38"/>
      <c r="E30" s="38"/>
      <c r="F30" s="38"/>
      <c r="G30" s="38"/>
      <c r="H30" s="38"/>
      <c r="I30" s="38"/>
      <c r="J30" s="38"/>
      <c r="K30" s="99" t="s">
        <v>50</v>
      </c>
      <c r="L30" s="182" t="s">
        <v>51</v>
      </c>
      <c r="M30" s="76">
        <v>12</v>
      </c>
      <c r="N30" s="76">
        <v>10</v>
      </c>
      <c r="O30" s="76">
        <v>11</v>
      </c>
      <c r="P30" s="76">
        <v>3</v>
      </c>
      <c r="Q30" s="76">
        <v>0</v>
      </c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  <c r="BH30" s="76"/>
      <c r="BI30" s="76"/>
      <c r="BJ30" s="76"/>
      <c r="BK30" s="76"/>
      <c r="BL30" s="76"/>
      <c r="BM30" s="76"/>
      <c r="BN30" s="76"/>
      <c r="BO30" s="76"/>
      <c r="BP30" s="76"/>
      <c r="BQ30" s="76"/>
      <c r="BR30" s="76"/>
      <c r="BS30" s="76"/>
      <c r="BT30" s="76"/>
      <c r="BU30" s="38"/>
      <c r="BV30" s="140">
        <f>SUM(M30:BT30)</f>
        <v>36</v>
      </c>
    </row>
    <row r="31" spans="2:74" ht="23.1" customHeight="1"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182" t="s">
        <v>52</v>
      </c>
      <c r="M31" s="97">
        <f t="shared" ref="M31:S31" si="2">M29-M30</f>
        <v>24</v>
      </c>
      <c r="N31" s="97">
        <f t="shared" si="2"/>
        <v>14</v>
      </c>
      <c r="O31" s="97">
        <f t="shared" si="2"/>
        <v>3</v>
      </c>
      <c r="P31" s="97">
        <f t="shared" si="2"/>
        <v>0</v>
      </c>
      <c r="Q31" s="97">
        <f t="shared" si="2"/>
        <v>0</v>
      </c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97"/>
      <c r="AO31" s="97"/>
      <c r="AP31" s="97"/>
      <c r="AQ31" s="97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38"/>
      <c r="BV31" s="140">
        <f>SUM(M31:BT31)</f>
        <v>41</v>
      </c>
    </row>
    <row r="32" spans="2:74" ht="19.5" customHeight="1">
      <c r="C32" s="36" t="s">
        <v>53</v>
      </c>
      <c r="I32" s="210"/>
    </row>
    <row r="33" spans="2:74" ht="381.95" customHeight="1"/>
    <row r="34" spans="2:74" ht="216.95" customHeight="1"/>
    <row r="36" spans="2:74" ht="50.1" customHeight="1">
      <c r="B36" s="253"/>
      <c r="C36" s="254"/>
      <c r="D36" s="254"/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4"/>
      <c r="AM36" s="254"/>
      <c r="AN36" s="254"/>
      <c r="AO36" s="254"/>
      <c r="AP36" s="254"/>
      <c r="AQ36" s="254"/>
      <c r="AR36" s="254"/>
      <c r="AS36" s="254"/>
      <c r="AT36" s="254"/>
      <c r="AU36" s="254"/>
      <c r="AV36" s="254"/>
      <c r="AW36" s="254"/>
      <c r="AX36" s="254"/>
      <c r="AY36" s="254"/>
      <c r="AZ36" s="254"/>
      <c r="BA36" s="254"/>
      <c r="BB36" s="254"/>
      <c r="BC36" s="254"/>
      <c r="BD36" s="254"/>
      <c r="BE36" s="254"/>
      <c r="BF36" s="254"/>
      <c r="BG36" s="254"/>
      <c r="BH36" s="254"/>
      <c r="BI36" s="254"/>
      <c r="BJ36" s="254"/>
      <c r="BK36" s="254"/>
      <c r="BL36" s="254"/>
      <c r="BM36" s="254"/>
      <c r="BN36" s="254"/>
      <c r="BO36" s="254"/>
      <c r="BP36" s="254"/>
      <c r="BQ36" s="254"/>
      <c r="BR36" s="254"/>
      <c r="BS36" s="254"/>
      <c r="BT36" s="254"/>
      <c r="BU36" s="254"/>
      <c r="BV36" s="255"/>
    </row>
  </sheetData>
  <mergeCells count="23">
    <mergeCell ref="BP8:BT8"/>
    <mergeCell ref="B36:BV36"/>
    <mergeCell ref="AL8:AP8"/>
    <mergeCell ref="AQ8:AU8"/>
    <mergeCell ref="AV8:AZ8"/>
    <mergeCell ref="BA8:BE8"/>
    <mergeCell ref="BF8:BJ8"/>
    <mergeCell ref="BK8:BO8"/>
    <mergeCell ref="L8:L9"/>
    <mergeCell ref="M8:Q8"/>
    <mergeCell ref="R8:V8"/>
    <mergeCell ref="W8:AA8"/>
    <mergeCell ref="AB8:AF8"/>
    <mergeCell ref="AG8:AK8"/>
    <mergeCell ref="K3:K7"/>
    <mergeCell ref="B8:B9"/>
    <mergeCell ref="C8:C9"/>
    <mergeCell ref="D8:D9"/>
    <mergeCell ref="E8:G8"/>
    <mergeCell ref="H8:H9"/>
    <mergeCell ref="I8:I9"/>
    <mergeCell ref="J8:J9"/>
    <mergeCell ref="K8:K9"/>
  </mergeCells>
  <conditionalFormatting sqref="L10">
    <cfRule type="dataBar" priority="7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{F468828E-F591-4F6E-8630-EE2E0E21BEB0}</x14:id>
        </ext>
      </extLst>
    </cfRule>
  </conditionalFormatting>
  <conditionalFormatting sqref="L10">
    <cfRule type="dataBar" priority="8">
      <dataBar>
        <cfvo type="percent" val="1"/>
        <cfvo type="percent" val="100"/>
        <color theme="8" tint="0.59999389629810485"/>
      </dataBar>
    </cfRule>
  </conditionalFormatting>
  <conditionalFormatting sqref="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{7E70744F-559E-40BB-BD6F-66AC40CD7CCE}</x14:id>
        </ext>
      </extLst>
    </cfRule>
    <cfRule type="dataBar" priority="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{8CF923FF-0E48-41D4-88A1-2CE472F5DE49}</x14:id>
        </ext>
      </extLst>
    </cfRule>
  </conditionalFormatting>
  <conditionalFormatting sqref="L11:L25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{3B63E29E-37A6-45A1-B45B-41415DD0D82E}</x14:id>
        </ext>
      </extLst>
    </cfRule>
  </conditionalFormatting>
  <conditionalFormatting sqref="L11:L25">
    <cfRule type="dataBar" priority="4">
      <dataBar>
        <cfvo type="percent" val="1"/>
        <cfvo type="percent" val="100"/>
        <color theme="8" tint="0.59999389629810485"/>
      </dataBar>
    </cfRule>
  </conditionalFormatting>
  <conditionalFormatting sqref="L11:L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{522B54EB-BBBB-4C29-A65F-6D65D2F0E885}</x14:id>
        </ext>
      </extLst>
    </cfRule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{96E68EAF-F47B-4A5A-902A-9B4C903A3796}</x14:id>
        </ext>
      </extLst>
    </cfRule>
  </conditionalFormatting>
  <pageMargins left="0.3" right="0.3" top="0.3" bottom="0.3" header="0" footer="0"/>
  <pageSetup scale="32" fitToHeight="0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68828E-F591-4F6E-8630-EE2E0E21BEB0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L10</xm:sqref>
        </x14:conditionalFormatting>
        <x14:conditionalFormatting xmlns:xm="http://schemas.microsoft.com/office/excel/2006/main">
          <x14:cfRule type="dataBar" id="{7E70744F-559E-40BB-BD6F-66AC40CD7CCE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F923FF-0E48-41D4-88A1-2CE472F5DE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L10</xm:sqref>
        </x14:conditionalFormatting>
        <x14:conditionalFormatting xmlns:xm="http://schemas.microsoft.com/office/excel/2006/main">
          <x14:cfRule type="dataBar" id="{3B63E29E-37A6-45A1-B45B-41415DD0D82E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L11:L25</xm:sqref>
        </x14:conditionalFormatting>
        <x14:conditionalFormatting xmlns:xm="http://schemas.microsoft.com/office/excel/2006/main">
          <x14:cfRule type="dataBar" id="{522B54EB-BBBB-4C29-A65F-6D65D2F0E885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E68EAF-F47B-4A5A-902A-9B4C903A37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L11:L25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109D2-447F-4F39-A4BD-92E74C4EFF49}">
  <dimension ref="B3:I9"/>
  <sheetViews>
    <sheetView workbookViewId="0">
      <selection activeCell="C30" sqref="C30"/>
    </sheetView>
  </sheetViews>
  <sheetFormatPr baseColWidth="10" defaultRowHeight="15.75"/>
  <cols>
    <col min="2" max="2" width="48.5" customWidth="1"/>
    <col min="3" max="5" width="25.625" customWidth="1"/>
    <col min="7" max="9" width="20.625" customWidth="1"/>
  </cols>
  <sheetData>
    <row r="3" spans="2:9" ht="36" customHeight="1">
      <c r="B3" s="225" t="s">
        <v>120</v>
      </c>
      <c r="C3" s="225" t="s">
        <v>121</v>
      </c>
      <c r="D3" s="225" t="s">
        <v>122</v>
      </c>
      <c r="E3" s="225" t="s">
        <v>123</v>
      </c>
    </row>
    <row r="4" spans="2:9" ht="60" customHeight="1">
      <c r="B4" s="209" t="s">
        <v>124</v>
      </c>
      <c r="C4" s="209"/>
      <c r="D4" s="209"/>
      <c r="E4" s="228" t="s">
        <v>129</v>
      </c>
      <c r="G4" s="227" t="s">
        <v>119</v>
      </c>
      <c r="H4" s="228" t="s">
        <v>129</v>
      </c>
      <c r="I4" s="229" t="s">
        <v>130</v>
      </c>
    </row>
    <row r="5" spans="2:9" ht="60" customHeight="1">
      <c r="B5" s="209" t="s">
        <v>69</v>
      </c>
      <c r="C5" s="209"/>
      <c r="D5" s="209"/>
      <c r="E5" s="227" t="s">
        <v>119</v>
      </c>
      <c r="G5" s="226"/>
      <c r="H5" s="35"/>
      <c r="I5" s="35"/>
    </row>
    <row r="6" spans="2:9" ht="60" customHeight="1">
      <c r="B6" s="209" t="s">
        <v>126</v>
      </c>
      <c r="C6" s="209"/>
      <c r="D6" s="209"/>
      <c r="E6" s="227" t="s">
        <v>119</v>
      </c>
    </row>
    <row r="7" spans="2:9" ht="60" customHeight="1">
      <c r="B7" s="209" t="s">
        <v>125</v>
      </c>
      <c r="C7" s="209"/>
      <c r="D7" s="229" t="s">
        <v>130</v>
      </c>
      <c r="E7" s="209"/>
    </row>
    <row r="8" spans="2:9" ht="60" customHeight="1">
      <c r="B8" s="209" t="s">
        <v>128</v>
      </c>
      <c r="C8" s="209"/>
      <c r="D8" s="229" t="s">
        <v>130</v>
      </c>
      <c r="E8" s="209"/>
    </row>
    <row r="9" spans="2:9" ht="60" customHeight="1">
      <c r="B9" s="209" t="s">
        <v>127</v>
      </c>
      <c r="C9" s="209"/>
      <c r="D9" s="228" t="s">
        <v>129</v>
      </c>
      <c r="E9" s="20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B1:BV42"/>
  <sheetViews>
    <sheetView showGridLines="0" zoomScaleNormal="100" zoomScalePageLayoutView="70" workbookViewId="0">
      <pane ySplit="8" topLeftCell="A33" activePane="bottomLeft" state="frozen"/>
      <selection pane="bottomLeft" activeCell="C9" sqref="C9"/>
    </sheetView>
  </sheetViews>
  <sheetFormatPr baseColWidth="10" defaultColWidth="11.125" defaultRowHeight="15.75"/>
  <cols>
    <col min="1" max="1" width="3.25" customWidth="1"/>
    <col min="2" max="2" width="10.5" customWidth="1"/>
    <col min="3" max="3" width="28.75" customWidth="1"/>
    <col min="4" max="4" width="22" customWidth="1"/>
    <col min="5" max="8" width="9" customWidth="1"/>
    <col min="9" max="10" width="10.875" customWidth="1"/>
    <col min="11" max="11" width="9.75" customWidth="1"/>
    <col min="12" max="12" width="15" customWidth="1"/>
    <col min="13" max="72" width="3.875" customWidth="1"/>
    <col min="73" max="73" width="1" customWidth="1"/>
    <col min="74" max="74" width="8.125" style="35" customWidth="1"/>
    <col min="75" max="75" width="3.25" customWidth="1"/>
  </cols>
  <sheetData>
    <row r="1" spans="2:74" s="35" customFormat="1" ht="35.1" customHeight="1" thickBot="1">
      <c r="B1" s="106" t="s">
        <v>0</v>
      </c>
      <c r="C1" s="37"/>
      <c r="D1" s="37"/>
      <c r="E1" s="37"/>
      <c r="F1" s="36"/>
      <c r="G1" s="37"/>
      <c r="H1" s="37"/>
      <c r="I1" s="37"/>
      <c r="J1" s="37"/>
      <c r="K1" s="37"/>
      <c r="L1" s="37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39"/>
      <c r="BB1" s="39"/>
      <c r="BC1" s="39"/>
      <c r="BD1" s="39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</row>
    <row r="2" spans="2:74" ht="23.1" customHeight="1">
      <c r="B2" s="40"/>
      <c r="C2" s="40"/>
      <c r="D2" s="40"/>
      <c r="E2" s="40"/>
      <c r="F2" s="40"/>
      <c r="G2" s="40"/>
      <c r="H2" s="40"/>
      <c r="I2" s="40"/>
      <c r="J2" s="41"/>
      <c r="K2" s="259" t="s">
        <v>1</v>
      </c>
      <c r="L2" s="42" t="s">
        <v>2</v>
      </c>
      <c r="M2" s="22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6"/>
      <c r="BU2" s="38"/>
      <c r="BV2" s="39"/>
    </row>
    <row r="3" spans="2:74" ht="23.1" customHeight="1">
      <c r="B3" s="40"/>
      <c r="C3" s="40"/>
      <c r="D3" s="40"/>
      <c r="E3" s="40"/>
      <c r="F3" s="40"/>
      <c r="G3" s="40"/>
      <c r="H3" s="40"/>
      <c r="I3" s="40"/>
      <c r="J3" s="41"/>
      <c r="K3" s="260"/>
      <c r="L3" s="47" t="s">
        <v>3</v>
      </c>
      <c r="M3" s="19"/>
      <c r="N3" s="23"/>
      <c r="O3" s="19"/>
      <c r="P3" s="20"/>
      <c r="Q3" s="20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51"/>
      <c r="BU3" s="38"/>
      <c r="BV3" s="39"/>
    </row>
    <row r="4" spans="2:74" ht="23.1" customHeight="1">
      <c r="B4" s="36"/>
      <c r="C4" s="37"/>
      <c r="D4" s="37"/>
      <c r="E4" s="37"/>
      <c r="F4" s="37"/>
      <c r="G4" s="37"/>
      <c r="H4" s="37"/>
      <c r="I4" s="36"/>
      <c r="J4" s="37"/>
      <c r="K4" s="260"/>
      <c r="L4" s="52" t="s">
        <v>4</v>
      </c>
      <c r="M4" s="19"/>
      <c r="N4" s="19"/>
      <c r="O4" s="24"/>
      <c r="P4" s="20"/>
      <c r="Q4" s="20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51"/>
      <c r="BU4" s="38"/>
      <c r="BV4" s="39"/>
    </row>
    <row r="5" spans="2:74" ht="23.1" customHeight="1">
      <c r="B5" s="36"/>
      <c r="C5" s="37"/>
      <c r="D5" s="37"/>
      <c r="E5" s="37"/>
      <c r="F5" s="37"/>
      <c r="G5" s="37"/>
      <c r="H5" s="37"/>
      <c r="I5" s="36"/>
      <c r="J5" s="37"/>
      <c r="K5" s="260"/>
      <c r="L5" s="54" t="s">
        <v>5</v>
      </c>
      <c r="M5" s="19"/>
      <c r="N5" s="19"/>
      <c r="O5" s="19"/>
      <c r="P5" s="25"/>
      <c r="Q5" s="20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51"/>
      <c r="BU5" s="38"/>
      <c r="BV5" s="39"/>
    </row>
    <row r="6" spans="2:74" ht="23.1" customHeight="1" thickBot="1">
      <c r="B6" s="36"/>
      <c r="C6" s="37"/>
      <c r="D6" s="37"/>
      <c r="E6" s="37"/>
      <c r="F6" s="37"/>
      <c r="G6" s="37"/>
      <c r="H6" s="37"/>
      <c r="I6" s="36"/>
      <c r="J6" s="37"/>
      <c r="K6" s="261"/>
      <c r="L6" s="56" t="s">
        <v>6</v>
      </c>
      <c r="M6" s="19"/>
      <c r="N6" s="19"/>
      <c r="O6" s="19"/>
      <c r="P6" s="20"/>
      <c r="Q6" s="26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51"/>
      <c r="BU6" s="38"/>
      <c r="BV6" s="39"/>
    </row>
    <row r="7" spans="2:74" ht="23.1" customHeight="1">
      <c r="B7" s="242" t="s">
        <v>7</v>
      </c>
      <c r="C7" s="251" t="s">
        <v>8</v>
      </c>
      <c r="D7" s="246" t="s">
        <v>9</v>
      </c>
      <c r="E7" s="256" t="s">
        <v>10</v>
      </c>
      <c r="F7" s="257"/>
      <c r="G7" s="258"/>
      <c r="H7" s="244" t="s">
        <v>11</v>
      </c>
      <c r="I7" s="248" t="s">
        <v>12</v>
      </c>
      <c r="J7" s="249" t="s">
        <v>13</v>
      </c>
      <c r="K7" s="262" t="s">
        <v>14</v>
      </c>
      <c r="L7" s="263" t="s">
        <v>15</v>
      </c>
      <c r="M7" s="265" t="s">
        <v>16</v>
      </c>
      <c r="N7" s="240"/>
      <c r="O7" s="240"/>
      <c r="P7" s="240"/>
      <c r="Q7" s="241"/>
      <c r="R7" s="266" t="s">
        <v>17</v>
      </c>
      <c r="S7" s="240"/>
      <c r="T7" s="240"/>
      <c r="U7" s="240"/>
      <c r="V7" s="241"/>
      <c r="W7" s="266" t="s">
        <v>18</v>
      </c>
      <c r="X7" s="240"/>
      <c r="Y7" s="240"/>
      <c r="Z7" s="240"/>
      <c r="AA7" s="241"/>
      <c r="AB7" s="268" t="s">
        <v>19</v>
      </c>
      <c r="AC7" s="240"/>
      <c r="AD7" s="240"/>
      <c r="AE7" s="240"/>
      <c r="AF7" s="241"/>
      <c r="AG7" s="269" t="s">
        <v>20</v>
      </c>
      <c r="AH7" s="240"/>
      <c r="AI7" s="240"/>
      <c r="AJ7" s="240"/>
      <c r="AK7" s="241"/>
      <c r="AL7" s="269" t="s">
        <v>21</v>
      </c>
      <c r="AM7" s="240"/>
      <c r="AN7" s="240"/>
      <c r="AO7" s="240"/>
      <c r="AP7" s="241"/>
      <c r="AQ7" s="267" t="s">
        <v>22</v>
      </c>
      <c r="AR7" s="240"/>
      <c r="AS7" s="240"/>
      <c r="AT7" s="240"/>
      <c r="AU7" s="241"/>
      <c r="AV7" s="270" t="s">
        <v>23</v>
      </c>
      <c r="AW7" s="240"/>
      <c r="AX7" s="240"/>
      <c r="AY7" s="240"/>
      <c r="AZ7" s="241"/>
      <c r="BA7" s="270" t="s">
        <v>24</v>
      </c>
      <c r="BB7" s="240"/>
      <c r="BC7" s="240"/>
      <c r="BD7" s="240"/>
      <c r="BE7" s="241"/>
      <c r="BF7" s="271" t="s">
        <v>25</v>
      </c>
      <c r="BG7" s="240"/>
      <c r="BH7" s="240"/>
      <c r="BI7" s="240"/>
      <c r="BJ7" s="241"/>
      <c r="BK7" s="272" t="s">
        <v>26</v>
      </c>
      <c r="BL7" s="240"/>
      <c r="BM7" s="240"/>
      <c r="BN7" s="240"/>
      <c r="BO7" s="241"/>
      <c r="BP7" s="272" t="s">
        <v>27</v>
      </c>
      <c r="BQ7" s="240"/>
      <c r="BR7" s="240"/>
      <c r="BS7" s="240"/>
      <c r="BT7" s="241"/>
      <c r="BU7" s="38"/>
      <c r="BV7" s="39"/>
    </row>
    <row r="8" spans="2:74" ht="23.1" customHeight="1" thickBot="1">
      <c r="B8" s="243"/>
      <c r="C8" s="252"/>
      <c r="D8" s="247"/>
      <c r="E8" s="58" t="s">
        <v>28</v>
      </c>
      <c r="F8" s="59" t="s">
        <v>29</v>
      </c>
      <c r="G8" s="60" t="s">
        <v>30</v>
      </c>
      <c r="H8" s="245"/>
      <c r="I8" s="241"/>
      <c r="J8" s="250"/>
      <c r="K8" s="250"/>
      <c r="L8" s="264"/>
      <c r="M8" s="61" t="s">
        <v>31</v>
      </c>
      <c r="N8" s="62" t="s">
        <v>32</v>
      </c>
      <c r="O8" s="62" t="s">
        <v>33</v>
      </c>
      <c r="P8" s="62" t="s">
        <v>34</v>
      </c>
      <c r="Q8" s="62" t="s">
        <v>35</v>
      </c>
      <c r="R8" s="62" t="s">
        <v>31</v>
      </c>
      <c r="S8" s="62" t="s">
        <v>32</v>
      </c>
      <c r="T8" s="62" t="s">
        <v>33</v>
      </c>
      <c r="U8" s="62" t="s">
        <v>34</v>
      </c>
      <c r="V8" s="62" t="s">
        <v>35</v>
      </c>
      <c r="W8" s="62" t="s">
        <v>31</v>
      </c>
      <c r="X8" s="62" t="s">
        <v>32</v>
      </c>
      <c r="Y8" s="62" t="s">
        <v>33</v>
      </c>
      <c r="Z8" s="62" t="s">
        <v>34</v>
      </c>
      <c r="AA8" s="63" t="s">
        <v>35</v>
      </c>
      <c r="AB8" s="64" t="s">
        <v>31</v>
      </c>
      <c r="AC8" s="65" t="s">
        <v>32</v>
      </c>
      <c r="AD8" s="65" t="s">
        <v>33</v>
      </c>
      <c r="AE8" s="65" t="s">
        <v>34</v>
      </c>
      <c r="AF8" s="65" t="s">
        <v>35</v>
      </c>
      <c r="AG8" s="65" t="s">
        <v>31</v>
      </c>
      <c r="AH8" s="65" t="s">
        <v>32</v>
      </c>
      <c r="AI8" s="65" t="s">
        <v>33</v>
      </c>
      <c r="AJ8" s="65" t="s">
        <v>34</v>
      </c>
      <c r="AK8" s="65" t="s">
        <v>35</v>
      </c>
      <c r="AL8" s="65" t="s">
        <v>31</v>
      </c>
      <c r="AM8" s="65" t="s">
        <v>32</v>
      </c>
      <c r="AN8" s="65" t="s">
        <v>33</v>
      </c>
      <c r="AO8" s="65" t="s">
        <v>34</v>
      </c>
      <c r="AP8" s="66" t="s">
        <v>35</v>
      </c>
      <c r="AQ8" s="67" t="s">
        <v>31</v>
      </c>
      <c r="AR8" s="68" t="s">
        <v>32</v>
      </c>
      <c r="AS8" s="68" t="s">
        <v>33</v>
      </c>
      <c r="AT8" s="68" t="s">
        <v>34</v>
      </c>
      <c r="AU8" s="68" t="s">
        <v>35</v>
      </c>
      <c r="AV8" s="68" t="s">
        <v>31</v>
      </c>
      <c r="AW8" s="68" t="s">
        <v>32</v>
      </c>
      <c r="AX8" s="68" t="s">
        <v>33</v>
      </c>
      <c r="AY8" s="68" t="s">
        <v>34</v>
      </c>
      <c r="AZ8" s="68" t="s">
        <v>35</v>
      </c>
      <c r="BA8" s="68" t="s">
        <v>31</v>
      </c>
      <c r="BB8" s="68" t="s">
        <v>32</v>
      </c>
      <c r="BC8" s="68" t="s">
        <v>33</v>
      </c>
      <c r="BD8" s="68" t="s">
        <v>34</v>
      </c>
      <c r="BE8" s="69" t="s">
        <v>35</v>
      </c>
      <c r="BF8" s="70" t="s">
        <v>31</v>
      </c>
      <c r="BG8" s="71" t="s">
        <v>32</v>
      </c>
      <c r="BH8" s="71" t="s">
        <v>33</v>
      </c>
      <c r="BI8" s="71" t="s">
        <v>34</v>
      </c>
      <c r="BJ8" s="71" t="s">
        <v>35</v>
      </c>
      <c r="BK8" s="71" t="s">
        <v>31</v>
      </c>
      <c r="BL8" s="71" t="s">
        <v>32</v>
      </c>
      <c r="BM8" s="71" t="s">
        <v>33</v>
      </c>
      <c r="BN8" s="71" t="s">
        <v>34</v>
      </c>
      <c r="BO8" s="71" t="s">
        <v>35</v>
      </c>
      <c r="BP8" s="71" t="s">
        <v>31</v>
      </c>
      <c r="BQ8" s="71" t="s">
        <v>32</v>
      </c>
      <c r="BR8" s="71" t="s">
        <v>33</v>
      </c>
      <c r="BS8" s="71" t="s">
        <v>34</v>
      </c>
      <c r="BT8" s="72" t="s">
        <v>35</v>
      </c>
      <c r="BU8" s="38"/>
      <c r="BV8" s="39"/>
    </row>
    <row r="9" spans="2:74" ht="23.1" customHeight="1" thickTop="1">
      <c r="B9" s="141">
        <v>1</v>
      </c>
      <c r="C9" s="183"/>
      <c r="D9" s="184"/>
      <c r="E9" s="142">
        <f>SUM(E10:E16)</f>
        <v>0</v>
      </c>
      <c r="F9" s="143">
        <f>SUM(F10:F16)</f>
        <v>0</v>
      </c>
      <c r="G9" s="144">
        <f>SUM(G10:G16)</f>
        <v>0</v>
      </c>
      <c r="H9" s="145"/>
      <c r="I9" s="146"/>
      <c r="J9" s="147"/>
      <c r="K9" s="148"/>
      <c r="L9" s="149" t="str">
        <f t="shared" ref="L9:L33" si="0">IFERROR(F9/E9,"")</f>
        <v/>
      </c>
      <c r="M9" s="73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5"/>
      <c r="AB9" s="73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5"/>
      <c r="AQ9" s="73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5"/>
      <c r="BF9" s="73"/>
      <c r="BG9" s="74"/>
      <c r="BH9" s="74"/>
      <c r="BI9" s="74"/>
      <c r="BJ9" s="74"/>
      <c r="BK9" s="74"/>
      <c r="BL9" s="74"/>
      <c r="BM9" s="74"/>
      <c r="BN9" s="74"/>
      <c r="BO9" s="74"/>
      <c r="BP9" s="74"/>
      <c r="BQ9" s="74"/>
      <c r="BR9" s="74"/>
      <c r="BS9" s="74"/>
      <c r="BT9" s="75"/>
      <c r="BU9" s="38"/>
      <c r="BV9" s="39"/>
    </row>
    <row r="10" spans="2:74" ht="23.1" customHeight="1">
      <c r="B10" s="150">
        <v>1.1000000000000001</v>
      </c>
      <c r="C10" s="151"/>
      <c r="D10" s="152"/>
      <c r="E10" s="153"/>
      <c r="F10" s="154"/>
      <c r="G10" s="155">
        <f t="shared" ref="G10:G16" si="1">E10-F10</f>
        <v>0</v>
      </c>
      <c r="H10" s="156"/>
      <c r="I10" s="157"/>
      <c r="J10" s="158"/>
      <c r="K10" s="159">
        <f t="shared" ref="K10:K16" si="2">J10-I10+1</f>
        <v>1</v>
      </c>
      <c r="L10" s="160" t="str">
        <f t="shared" si="0"/>
        <v/>
      </c>
      <c r="M10" s="27"/>
      <c r="N10" s="2"/>
      <c r="O10" s="2"/>
      <c r="P10" s="2"/>
      <c r="Q10" s="2"/>
      <c r="R10" s="3"/>
      <c r="S10" s="3"/>
      <c r="T10" s="3"/>
      <c r="U10" s="3"/>
      <c r="V10" s="3"/>
      <c r="W10" s="2"/>
      <c r="X10" s="2"/>
      <c r="Y10" s="2"/>
      <c r="Z10" s="2"/>
      <c r="AA10" s="4"/>
      <c r="AB10" s="1"/>
      <c r="AC10" s="2"/>
      <c r="AD10" s="2"/>
      <c r="AE10" s="2"/>
      <c r="AF10" s="2"/>
      <c r="AG10" s="5"/>
      <c r="AH10" s="5"/>
      <c r="AI10" s="5"/>
      <c r="AJ10" s="5"/>
      <c r="AK10" s="5"/>
      <c r="AL10" s="2"/>
      <c r="AM10" s="2"/>
      <c r="AN10" s="2"/>
      <c r="AO10" s="2"/>
      <c r="AP10" s="4"/>
      <c r="AQ10" s="1"/>
      <c r="AR10" s="2"/>
      <c r="AS10" s="2"/>
      <c r="AT10" s="2"/>
      <c r="AU10" s="2"/>
      <c r="AV10" s="6"/>
      <c r="AW10" s="6"/>
      <c r="AX10" s="6"/>
      <c r="AY10" s="6"/>
      <c r="AZ10" s="6"/>
      <c r="BA10" s="2"/>
      <c r="BB10" s="2"/>
      <c r="BC10" s="2"/>
      <c r="BD10" s="2"/>
      <c r="BE10" s="4"/>
      <c r="BF10" s="1"/>
      <c r="BG10" s="2"/>
      <c r="BH10" s="2"/>
      <c r="BI10" s="2"/>
      <c r="BJ10" s="2"/>
      <c r="BK10" s="7"/>
      <c r="BL10" s="7"/>
      <c r="BM10" s="7"/>
      <c r="BN10" s="7"/>
      <c r="BO10" s="7"/>
      <c r="BP10" s="2"/>
      <c r="BQ10" s="2"/>
      <c r="BR10" s="2"/>
      <c r="BS10" s="2"/>
      <c r="BT10" s="4"/>
      <c r="BU10" s="38"/>
      <c r="BV10" s="39"/>
    </row>
    <row r="11" spans="2:74" ht="23.1" customHeight="1">
      <c r="B11" s="150" t="s">
        <v>36</v>
      </c>
      <c r="C11" s="161"/>
      <c r="D11" s="162"/>
      <c r="E11" s="153"/>
      <c r="F11" s="154"/>
      <c r="G11" s="155">
        <f t="shared" si="1"/>
        <v>0</v>
      </c>
      <c r="H11" s="163"/>
      <c r="I11" s="157"/>
      <c r="J11" s="158"/>
      <c r="K11" s="159">
        <f t="shared" si="2"/>
        <v>1</v>
      </c>
      <c r="L11" s="160" t="str">
        <f t="shared" si="0"/>
        <v/>
      </c>
      <c r="M11" s="1"/>
      <c r="N11" s="2"/>
      <c r="O11" s="2"/>
      <c r="P11" s="2"/>
      <c r="Q11" s="2"/>
      <c r="R11" s="3"/>
      <c r="S11" s="3"/>
      <c r="T11" s="3"/>
      <c r="U11" s="3"/>
      <c r="V11" s="3"/>
      <c r="W11" s="2"/>
      <c r="X11" s="2"/>
      <c r="Y11" s="2"/>
      <c r="Z11" s="2"/>
      <c r="AA11" s="4"/>
      <c r="AB11" s="1"/>
      <c r="AC11" s="2"/>
      <c r="AD11" s="2"/>
      <c r="AE11" s="2"/>
      <c r="AF11" s="2"/>
      <c r="AG11" s="5"/>
      <c r="AH11" s="5"/>
      <c r="AI11" s="5"/>
      <c r="AJ11" s="5"/>
      <c r="AK11" s="5"/>
      <c r="AL11" s="2"/>
      <c r="AM11" s="2"/>
      <c r="AN11" s="2"/>
      <c r="AO11" s="2"/>
      <c r="AP11" s="4"/>
      <c r="AQ11" s="1"/>
      <c r="AR11" s="2"/>
      <c r="AS11" s="2"/>
      <c r="AT11" s="2"/>
      <c r="AU11" s="2"/>
      <c r="AV11" s="6"/>
      <c r="AW11" s="6"/>
      <c r="AX11" s="6"/>
      <c r="AY11" s="6"/>
      <c r="AZ11" s="6"/>
      <c r="BA11" s="2"/>
      <c r="BB11" s="2"/>
      <c r="BC11" s="2"/>
      <c r="BD11" s="2"/>
      <c r="BE11" s="4"/>
      <c r="BF11" s="1"/>
      <c r="BG11" s="2"/>
      <c r="BH11" s="2"/>
      <c r="BI11" s="2"/>
      <c r="BJ11" s="2"/>
      <c r="BK11" s="7"/>
      <c r="BL11" s="7"/>
      <c r="BM11" s="7"/>
      <c r="BN11" s="7"/>
      <c r="BO11" s="7"/>
      <c r="BP11" s="2"/>
      <c r="BQ11" s="2"/>
      <c r="BR11" s="2"/>
      <c r="BS11" s="2"/>
      <c r="BT11" s="4"/>
      <c r="BU11" s="38"/>
      <c r="BV11" s="39"/>
    </row>
    <row r="12" spans="2:74" ht="23.1" customHeight="1">
      <c r="B12" s="150">
        <v>1.2</v>
      </c>
      <c r="C12" s="151"/>
      <c r="D12" s="152"/>
      <c r="E12" s="153"/>
      <c r="F12" s="154"/>
      <c r="G12" s="155">
        <f t="shared" si="1"/>
        <v>0</v>
      </c>
      <c r="H12" s="156"/>
      <c r="I12" s="157"/>
      <c r="J12" s="158"/>
      <c r="K12" s="159">
        <f t="shared" si="2"/>
        <v>1</v>
      </c>
      <c r="L12" s="160" t="str">
        <f t="shared" si="0"/>
        <v/>
      </c>
      <c r="M12" s="1"/>
      <c r="N12" s="2"/>
      <c r="O12" s="2"/>
      <c r="P12" s="2"/>
      <c r="Q12" s="2"/>
      <c r="R12" s="3"/>
      <c r="S12" s="3"/>
      <c r="T12" s="3"/>
      <c r="U12" s="3"/>
      <c r="V12" s="3"/>
      <c r="W12" s="2"/>
      <c r="X12" s="2"/>
      <c r="Y12" s="2"/>
      <c r="Z12" s="2"/>
      <c r="AA12" s="4"/>
      <c r="AB12" s="1"/>
      <c r="AC12" s="2"/>
      <c r="AD12" s="2"/>
      <c r="AE12" s="2"/>
      <c r="AF12" s="2"/>
      <c r="AG12" s="5"/>
      <c r="AH12" s="5"/>
      <c r="AI12" s="5"/>
      <c r="AJ12" s="5"/>
      <c r="AK12" s="5"/>
      <c r="AL12" s="2"/>
      <c r="AM12" s="2"/>
      <c r="AN12" s="2"/>
      <c r="AO12" s="2"/>
      <c r="AP12" s="4"/>
      <c r="AQ12" s="1"/>
      <c r="AR12" s="2"/>
      <c r="AS12" s="2"/>
      <c r="AT12" s="2"/>
      <c r="AU12" s="2"/>
      <c r="AV12" s="6"/>
      <c r="AW12" s="6"/>
      <c r="AX12" s="6"/>
      <c r="AY12" s="6"/>
      <c r="AZ12" s="6"/>
      <c r="BA12" s="2"/>
      <c r="BB12" s="2"/>
      <c r="BC12" s="2"/>
      <c r="BD12" s="2"/>
      <c r="BE12" s="4"/>
      <c r="BF12" s="1"/>
      <c r="BG12" s="2"/>
      <c r="BH12" s="2"/>
      <c r="BI12" s="2"/>
      <c r="BJ12" s="2"/>
      <c r="BK12" s="7"/>
      <c r="BL12" s="7"/>
      <c r="BM12" s="7"/>
      <c r="BN12" s="7"/>
      <c r="BO12" s="7"/>
      <c r="BP12" s="2"/>
      <c r="BQ12" s="2"/>
      <c r="BR12" s="2"/>
      <c r="BS12" s="2"/>
      <c r="BT12" s="4"/>
      <c r="BU12" s="38"/>
      <c r="BV12" s="39"/>
    </row>
    <row r="13" spans="2:74" ht="23.1" customHeight="1">
      <c r="B13" s="150">
        <v>1.3</v>
      </c>
      <c r="C13" s="151"/>
      <c r="D13" s="152"/>
      <c r="E13" s="153"/>
      <c r="F13" s="154"/>
      <c r="G13" s="155">
        <f t="shared" si="1"/>
        <v>0</v>
      </c>
      <c r="H13" s="156"/>
      <c r="I13" s="157"/>
      <c r="J13" s="158"/>
      <c r="K13" s="159">
        <f t="shared" si="2"/>
        <v>1</v>
      </c>
      <c r="L13" s="160" t="str">
        <f t="shared" si="0"/>
        <v/>
      </c>
      <c r="M13" s="1"/>
      <c r="N13" s="2"/>
      <c r="O13" s="2"/>
      <c r="P13" s="2"/>
      <c r="Q13" s="2"/>
      <c r="R13" s="3"/>
      <c r="S13" s="3"/>
      <c r="T13" s="3"/>
      <c r="U13" s="3"/>
      <c r="V13" s="3"/>
      <c r="W13" s="2"/>
      <c r="X13" s="2"/>
      <c r="Y13" s="2"/>
      <c r="Z13" s="2"/>
      <c r="AA13" s="4"/>
      <c r="AB13" s="1"/>
      <c r="AC13" s="2"/>
      <c r="AD13" s="2"/>
      <c r="AE13" s="2"/>
      <c r="AF13" s="2"/>
      <c r="AG13" s="5"/>
      <c r="AH13" s="5"/>
      <c r="AI13" s="5"/>
      <c r="AJ13" s="5"/>
      <c r="AK13" s="5"/>
      <c r="AL13" s="2"/>
      <c r="AM13" s="2"/>
      <c r="AN13" s="2"/>
      <c r="AO13" s="2"/>
      <c r="AP13" s="4"/>
      <c r="AQ13" s="1"/>
      <c r="AR13" s="2"/>
      <c r="AS13" s="2"/>
      <c r="AT13" s="2"/>
      <c r="AU13" s="2"/>
      <c r="AV13" s="6"/>
      <c r="AW13" s="6"/>
      <c r="AX13" s="6"/>
      <c r="AY13" s="6"/>
      <c r="AZ13" s="6"/>
      <c r="BA13" s="2"/>
      <c r="BB13" s="2"/>
      <c r="BC13" s="2"/>
      <c r="BD13" s="2"/>
      <c r="BE13" s="4"/>
      <c r="BF13" s="1"/>
      <c r="BG13" s="2"/>
      <c r="BH13" s="2"/>
      <c r="BI13" s="2"/>
      <c r="BJ13" s="2"/>
      <c r="BK13" s="7"/>
      <c r="BL13" s="7"/>
      <c r="BM13" s="7"/>
      <c r="BN13" s="7"/>
      <c r="BO13" s="7"/>
      <c r="BP13" s="2"/>
      <c r="BQ13" s="2"/>
      <c r="BR13" s="2"/>
      <c r="BS13" s="2"/>
      <c r="BT13" s="4"/>
      <c r="BU13" s="38"/>
      <c r="BV13" s="39"/>
    </row>
    <row r="14" spans="2:74" ht="23.1" customHeight="1">
      <c r="B14" s="150">
        <v>1.4</v>
      </c>
      <c r="C14" s="151"/>
      <c r="D14" s="152"/>
      <c r="E14" s="153"/>
      <c r="F14" s="154"/>
      <c r="G14" s="155">
        <f t="shared" si="1"/>
        <v>0</v>
      </c>
      <c r="H14" s="156"/>
      <c r="I14" s="157"/>
      <c r="J14" s="158"/>
      <c r="K14" s="159">
        <f t="shared" si="2"/>
        <v>1</v>
      </c>
      <c r="L14" s="160" t="str">
        <f t="shared" si="0"/>
        <v/>
      </c>
      <c r="M14" s="1"/>
      <c r="N14" s="2"/>
      <c r="O14" s="2"/>
      <c r="P14" s="2"/>
      <c r="Q14" s="2"/>
      <c r="R14" s="3"/>
      <c r="S14" s="3"/>
      <c r="T14" s="3"/>
      <c r="U14" s="3"/>
      <c r="V14" s="3"/>
      <c r="W14" s="2"/>
      <c r="X14" s="2"/>
      <c r="Y14" s="2"/>
      <c r="Z14" s="2"/>
      <c r="AA14" s="4"/>
      <c r="AB14" s="1"/>
      <c r="AC14" s="2"/>
      <c r="AD14" s="2"/>
      <c r="AE14" s="2"/>
      <c r="AF14" s="2"/>
      <c r="AG14" s="5"/>
      <c r="AH14" s="5"/>
      <c r="AI14" s="5"/>
      <c r="AJ14" s="5"/>
      <c r="AK14" s="5"/>
      <c r="AL14" s="2"/>
      <c r="AM14" s="2"/>
      <c r="AN14" s="2"/>
      <c r="AO14" s="2"/>
      <c r="AP14" s="4"/>
      <c r="AQ14" s="1"/>
      <c r="AR14" s="2"/>
      <c r="AS14" s="2"/>
      <c r="AT14" s="2"/>
      <c r="AU14" s="2"/>
      <c r="AV14" s="6"/>
      <c r="AW14" s="6"/>
      <c r="AX14" s="6"/>
      <c r="AY14" s="6"/>
      <c r="AZ14" s="6"/>
      <c r="BA14" s="2"/>
      <c r="BB14" s="2"/>
      <c r="BC14" s="2"/>
      <c r="BD14" s="2"/>
      <c r="BE14" s="4"/>
      <c r="BF14" s="1"/>
      <c r="BG14" s="2"/>
      <c r="BH14" s="2"/>
      <c r="BI14" s="2"/>
      <c r="BJ14" s="2"/>
      <c r="BK14" s="7"/>
      <c r="BL14" s="7"/>
      <c r="BM14" s="7"/>
      <c r="BN14" s="7"/>
      <c r="BO14" s="7"/>
      <c r="BP14" s="2"/>
      <c r="BQ14" s="2"/>
      <c r="BR14" s="2"/>
      <c r="BS14" s="2"/>
      <c r="BT14" s="4"/>
      <c r="BU14" s="38"/>
      <c r="BV14" s="39"/>
    </row>
    <row r="15" spans="2:74" ht="23.1" customHeight="1">
      <c r="B15" s="150">
        <v>1.5</v>
      </c>
      <c r="C15" s="151"/>
      <c r="D15" s="152"/>
      <c r="E15" s="153"/>
      <c r="F15" s="154"/>
      <c r="G15" s="155">
        <f t="shared" si="1"/>
        <v>0</v>
      </c>
      <c r="H15" s="156"/>
      <c r="I15" s="157"/>
      <c r="J15" s="158"/>
      <c r="K15" s="159">
        <f t="shared" si="2"/>
        <v>1</v>
      </c>
      <c r="L15" s="160" t="str">
        <f t="shared" si="0"/>
        <v/>
      </c>
      <c r="M15" s="1"/>
      <c r="N15" s="2"/>
      <c r="O15" s="2"/>
      <c r="P15" s="2"/>
      <c r="Q15" s="2"/>
      <c r="R15" s="3"/>
      <c r="S15" s="3"/>
      <c r="T15" s="3"/>
      <c r="U15" s="3"/>
      <c r="V15" s="3"/>
      <c r="W15" s="2"/>
      <c r="X15" s="2"/>
      <c r="Y15" s="2"/>
      <c r="Z15" s="2"/>
      <c r="AA15" s="4"/>
      <c r="AB15" s="1"/>
      <c r="AC15" s="2"/>
      <c r="AD15" s="2"/>
      <c r="AE15" s="2"/>
      <c r="AF15" s="2"/>
      <c r="AG15" s="5"/>
      <c r="AH15" s="5"/>
      <c r="AI15" s="5"/>
      <c r="AJ15" s="5"/>
      <c r="AK15" s="5"/>
      <c r="AL15" s="2"/>
      <c r="AM15" s="2"/>
      <c r="AN15" s="2"/>
      <c r="AO15" s="2"/>
      <c r="AP15" s="4"/>
      <c r="AQ15" s="1"/>
      <c r="AR15" s="2"/>
      <c r="AS15" s="2"/>
      <c r="AT15" s="2"/>
      <c r="AU15" s="2"/>
      <c r="AV15" s="6"/>
      <c r="AW15" s="6"/>
      <c r="AX15" s="6"/>
      <c r="AY15" s="6"/>
      <c r="AZ15" s="6"/>
      <c r="BA15" s="2"/>
      <c r="BB15" s="2"/>
      <c r="BC15" s="2"/>
      <c r="BD15" s="2"/>
      <c r="BE15" s="4"/>
      <c r="BF15" s="1"/>
      <c r="BG15" s="2"/>
      <c r="BH15" s="2"/>
      <c r="BI15" s="2"/>
      <c r="BJ15" s="2"/>
      <c r="BK15" s="7"/>
      <c r="BL15" s="7"/>
      <c r="BM15" s="7"/>
      <c r="BN15" s="7"/>
      <c r="BO15" s="7"/>
      <c r="BP15" s="2"/>
      <c r="BQ15" s="2"/>
      <c r="BR15" s="2"/>
      <c r="BS15" s="2"/>
      <c r="BT15" s="4"/>
      <c r="BU15" s="38"/>
      <c r="BV15" s="39"/>
    </row>
    <row r="16" spans="2:74" ht="23.1" customHeight="1">
      <c r="B16" s="150">
        <v>1.6</v>
      </c>
      <c r="C16" s="151"/>
      <c r="D16" s="152"/>
      <c r="E16" s="153"/>
      <c r="F16" s="154"/>
      <c r="G16" s="155">
        <f t="shared" si="1"/>
        <v>0</v>
      </c>
      <c r="H16" s="156"/>
      <c r="I16" s="157"/>
      <c r="J16" s="158"/>
      <c r="K16" s="159">
        <f t="shared" si="2"/>
        <v>1</v>
      </c>
      <c r="L16" s="160" t="str">
        <f t="shared" si="0"/>
        <v/>
      </c>
      <c r="M16" s="1"/>
      <c r="N16" s="2"/>
      <c r="O16" s="2"/>
      <c r="P16" s="2"/>
      <c r="Q16" s="2"/>
      <c r="R16" s="3"/>
      <c r="S16" s="3"/>
      <c r="T16" s="3"/>
      <c r="U16" s="3"/>
      <c r="V16" s="3"/>
      <c r="W16" s="2"/>
      <c r="X16" s="2"/>
      <c r="Y16" s="2"/>
      <c r="Z16" s="2"/>
      <c r="AA16" s="4"/>
      <c r="AB16" s="1"/>
      <c r="AC16" s="2"/>
      <c r="AD16" s="2"/>
      <c r="AE16" s="2"/>
      <c r="AF16" s="2"/>
      <c r="AG16" s="5"/>
      <c r="AH16" s="5"/>
      <c r="AI16" s="5"/>
      <c r="AJ16" s="5"/>
      <c r="AK16" s="5"/>
      <c r="AL16" s="2"/>
      <c r="AM16" s="2"/>
      <c r="AN16" s="2"/>
      <c r="AO16" s="2"/>
      <c r="AP16" s="4"/>
      <c r="AQ16" s="1"/>
      <c r="AR16" s="2"/>
      <c r="AS16" s="2"/>
      <c r="AT16" s="2"/>
      <c r="AU16" s="2"/>
      <c r="AV16" s="6"/>
      <c r="AW16" s="6"/>
      <c r="AX16" s="6"/>
      <c r="AY16" s="6"/>
      <c r="AZ16" s="6"/>
      <c r="BA16" s="2"/>
      <c r="BB16" s="2"/>
      <c r="BC16" s="2"/>
      <c r="BD16" s="2"/>
      <c r="BE16" s="4"/>
      <c r="BF16" s="1"/>
      <c r="BG16" s="2"/>
      <c r="BH16" s="2"/>
      <c r="BI16" s="2"/>
      <c r="BJ16" s="2"/>
      <c r="BK16" s="7"/>
      <c r="BL16" s="7"/>
      <c r="BM16" s="7"/>
      <c r="BN16" s="7"/>
      <c r="BO16" s="7"/>
      <c r="BP16" s="2"/>
      <c r="BQ16" s="2"/>
      <c r="BR16" s="2"/>
      <c r="BS16" s="2"/>
      <c r="BT16" s="4"/>
      <c r="BU16" s="38"/>
      <c r="BV16" s="39"/>
    </row>
    <row r="17" spans="2:74" ht="23.1" customHeight="1">
      <c r="B17" s="150">
        <v>2</v>
      </c>
      <c r="C17" s="185"/>
      <c r="D17" s="186"/>
      <c r="E17" s="142">
        <f>SUM(E18:E21)</f>
        <v>0</v>
      </c>
      <c r="F17" s="143">
        <f>SUM(F18:F21)</f>
        <v>0</v>
      </c>
      <c r="G17" s="144">
        <f>SUM(G18:G21)</f>
        <v>0</v>
      </c>
      <c r="H17" s="164"/>
      <c r="I17" s="165"/>
      <c r="J17" s="166"/>
      <c r="K17" s="167"/>
      <c r="L17" s="149" t="str">
        <f t="shared" si="0"/>
        <v/>
      </c>
      <c r="M17" s="16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  <c r="AQ17" s="16"/>
      <c r="AR17" s="17"/>
      <c r="AS17" s="17"/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8"/>
      <c r="BF17" s="16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8"/>
      <c r="BU17" s="38"/>
      <c r="BV17" s="39"/>
    </row>
    <row r="18" spans="2:74" ht="23.1" customHeight="1">
      <c r="B18" s="150">
        <v>2.1</v>
      </c>
      <c r="C18" s="151"/>
      <c r="D18" s="152"/>
      <c r="E18" s="153"/>
      <c r="F18" s="154"/>
      <c r="G18" s="155">
        <f>E18-F18</f>
        <v>0</v>
      </c>
      <c r="H18" s="156"/>
      <c r="I18" s="157"/>
      <c r="J18" s="158"/>
      <c r="K18" s="159">
        <f>J18-I18+1</f>
        <v>1</v>
      </c>
      <c r="L18" s="160" t="str">
        <f t="shared" si="0"/>
        <v/>
      </c>
      <c r="M18" s="1"/>
      <c r="N18" s="2"/>
      <c r="O18" s="2"/>
      <c r="P18" s="2"/>
      <c r="Q18" s="2"/>
      <c r="R18" s="3"/>
      <c r="S18" s="3"/>
      <c r="T18" s="3"/>
      <c r="U18" s="3"/>
      <c r="V18" s="3"/>
      <c r="W18" s="2"/>
      <c r="X18" s="2"/>
      <c r="Y18" s="2"/>
      <c r="Z18" s="2"/>
      <c r="AA18" s="4"/>
      <c r="AB18" s="28"/>
      <c r="AC18" s="2"/>
      <c r="AD18" s="2"/>
      <c r="AE18" s="2"/>
      <c r="AF18" s="2"/>
      <c r="AG18" s="5"/>
      <c r="AH18" s="5"/>
      <c r="AI18" s="5"/>
      <c r="AJ18" s="5"/>
      <c r="AK18" s="5"/>
      <c r="AL18" s="2"/>
      <c r="AM18" s="2"/>
      <c r="AN18" s="2"/>
      <c r="AO18" s="2"/>
      <c r="AP18" s="4"/>
      <c r="AQ18" s="1"/>
      <c r="AR18" s="2"/>
      <c r="AS18" s="2"/>
      <c r="AT18" s="2"/>
      <c r="AU18" s="2"/>
      <c r="AV18" s="6"/>
      <c r="AW18" s="6"/>
      <c r="AX18" s="6"/>
      <c r="AY18" s="6"/>
      <c r="AZ18" s="6"/>
      <c r="BA18" s="2"/>
      <c r="BB18" s="2"/>
      <c r="BC18" s="2"/>
      <c r="BD18" s="2"/>
      <c r="BE18" s="4"/>
      <c r="BF18" s="1"/>
      <c r="BG18" s="2"/>
      <c r="BH18" s="2"/>
      <c r="BI18" s="2"/>
      <c r="BJ18" s="2"/>
      <c r="BK18" s="7"/>
      <c r="BL18" s="7"/>
      <c r="BM18" s="7"/>
      <c r="BN18" s="7"/>
      <c r="BO18" s="7"/>
      <c r="BP18" s="2"/>
      <c r="BQ18" s="2"/>
      <c r="BR18" s="2"/>
      <c r="BS18" s="2"/>
      <c r="BT18" s="4"/>
      <c r="BU18" s="38"/>
      <c r="BV18" s="39"/>
    </row>
    <row r="19" spans="2:74" ht="23.1" customHeight="1">
      <c r="B19" s="150">
        <v>2.2000000000000002</v>
      </c>
      <c r="C19" s="151"/>
      <c r="D19" s="152"/>
      <c r="E19" s="153"/>
      <c r="F19" s="154"/>
      <c r="G19" s="155">
        <f>E19-F19</f>
        <v>0</v>
      </c>
      <c r="H19" s="156"/>
      <c r="I19" s="157"/>
      <c r="J19" s="158"/>
      <c r="K19" s="159">
        <f>J19-I19+1</f>
        <v>1</v>
      </c>
      <c r="L19" s="160" t="str">
        <f t="shared" si="0"/>
        <v/>
      </c>
      <c r="M19" s="1"/>
      <c r="N19" s="2"/>
      <c r="O19" s="2"/>
      <c r="P19" s="2"/>
      <c r="Q19" s="2"/>
      <c r="R19" s="3"/>
      <c r="S19" s="3"/>
      <c r="T19" s="3"/>
      <c r="U19" s="3"/>
      <c r="V19" s="3"/>
      <c r="W19" s="2"/>
      <c r="X19" s="2"/>
      <c r="Y19" s="2"/>
      <c r="Z19" s="2"/>
      <c r="AA19" s="4"/>
      <c r="AB19" s="1"/>
      <c r="AC19" s="2"/>
      <c r="AD19" s="2"/>
      <c r="AE19" s="2"/>
      <c r="AF19" s="2"/>
      <c r="AG19" s="5"/>
      <c r="AH19" s="5"/>
      <c r="AI19" s="5"/>
      <c r="AJ19" s="5"/>
      <c r="AK19" s="5"/>
      <c r="AL19" s="2"/>
      <c r="AM19" s="2"/>
      <c r="AN19" s="2"/>
      <c r="AO19" s="2"/>
      <c r="AP19" s="4"/>
      <c r="AQ19" s="1"/>
      <c r="AR19" s="2"/>
      <c r="AS19" s="2"/>
      <c r="AT19" s="2"/>
      <c r="AU19" s="2"/>
      <c r="AV19" s="6"/>
      <c r="AW19" s="6"/>
      <c r="AX19" s="6"/>
      <c r="AY19" s="6"/>
      <c r="AZ19" s="6"/>
      <c r="BA19" s="2"/>
      <c r="BB19" s="2"/>
      <c r="BC19" s="2"/>
      <c r="BD19" s="2"/>
      <c r="BE19" s="4"/>
      <c r="BF19" s="1"/>
      <c r="BG19" s="2"/>
      <c r="BH19" s="2"/>
      <c r="BI19" s="2"/>
      <c r="BJ19" s="2"/>
      <c r="BK19" s="7"/>
      <c r="BL19" s="7"/>
      <c r="BM19" s="7"/>
      <c r="BN19" s="7"/>
      <c r="BO19" s="7"/>
      <c r="BP19" s="2"/>
      <c r="BQ19" s="2"/>
      <c r="BR19" s="2"/>
      <c r="BS19" s="2"/>
      <c r="BT19" s="4"/>
      <c r="BU19" s="38"/>
      <c r="BV19" s="39"/>
    </row>
    <row r="20" spans="2:74" ht="23.1" customHeight="1">
      <c r="B20" s="150">
        <v>2.2999999999999998</v>
      </c>
      <c r="C20" s="151"/>
      <c r="D20" s="152"/>
      <c r="E20" s="153"/>
      <c r="F20" s="154"/>
      <c r="G20" s="155">
        <f>E20-F20</f>
        <v>0</v>
      </c>
      <c r="H20" s="156"/>
      <c r="I20" s="157"/>
      <c r="J20" s="158"/>
      <c r="K20" s="159">
        <f>J20-I20+1</f>
        <v>1</v>
      </c>
      <c r="L20" s="160" t="str">
        <f t="shared" si="0"/>
        <v/>
      </c>
      <c r="M20" s="1"/>
      <c r="N20" s="2"/>
      <c r="O20" s="2"/>
      <c r="P20" s="2"/>
      <c r="Q20" s="2"/>
      <c r="R20" s="3"/>
      <c r="S20" s="3"/>
      <c r="T20" s="3"/>
      <c r="U20" s="3"/>
      <c r="V20" s="3"/>
      <c r="W20" s="2"/>
      <c r="X20" s="2"/>
      <c r="Y20" s="2"/>
      <c r="Z20" s="2"/>
      <c r="AA20" s="4"/>
      <c r="AB20" s="1"/>
      <c r="AC20" s="2"/>
      <c r="AD20" s="2"/>
      <c r="AE20" s="2"/>
      <c r="AF20" s="2"/>
      <c r="AG20" s="5"/>
      <c r="AH20" s="5"/>
      <c r="AI20" s="5"/>
      <c r="AJ20" s="5"/>
      <c r="AK20" s="5"/>
      <c r="AL20" s="2"/>
      <c r="AM20" s="2"/>
      <c r="AN20" s="2"/>
      <c r="AO20" s="2"/>
      <c r="AP20" s="4"/>
      <c r="AQ20" s="1"/>
      <c r="AR20" s="2"/>
      <c r="AS20" s="2"/>
      <c r="AT20" s="2"/>
      <c r="AU20" s="2"/>
      <c r="AV20" s="6"/>
      <c r="AW20" s="6"/>
      <c r="AX20" s="6"/>
      <c r="AY20" s="6"/>
      <c r="AZ20" s="6"/>
      <c r="BA20" s="2"/>
      <c r="BB20" s="2"/>
      <c r="BC20" s="2"/>
      <c r="BD20" s="2"/>
      <c r="BE20" s="4"/>
      <c r="BF20" s="1"/>
      <c r="BG20" s="2"/>
      <c r="BH20" s="2"/>
      <c r="BI20" s="2"/>
      <c r="BJ20" s="2"/>
      <c r="BK20" s="7"/>
      <c r="BL20" s="7"/>
      <c r="BM20" s="7"/>
      <c r="BN20" s="7"/>
      <c r="BO20" s="7"/>
      <c r="BP20" s="2"/>
      <c r="BQ20" s="2"/>
      <c r="BR20" s="2"/>
      <c r="BS20" s="2"/>
      <c r="BT20" s="4"/>
      <c r="BU20" s="38"/>
      <c r="BV20" s="39"/>
    </row>
    <row r="21" spans="2:74" ht="23.1" customHeight="1">
      <c r="B21" s="150">
        <v>2.4</v>
      </c>
      <c r="C21" s="151"/>
      <c r="D21" s="152"/>
      <c r="E21" s="153"/>
      <c r="F21" s="154"/>
      <c r="G21" s="155">
        <f>E21-F21</f>
        <v>0</v>
      </c>
      <c r="H21" s="156"/>
      <c r="I21" s="157"/>
      <c r="J21" s="158"/>
      <c r="K21" s="159">
        <f>J21-I21+1</f>
        <v>1</v>
      </c>
      <c r="L21" s="160" t="str">
        <f t="shared" si="0"/>
        <v/>
      </c>
      <c r="M21" s="1"/>
      <c r="N21" s="2"/>
      <c r="O21" s="2"/>
      <c r="P21" s="2"/>
      <c r="Q21" s="2"/>
      <c r="R21" s="3"/>
      <c r="S21" s="3"/>
      <c r="T21" s="3"/>
      <c r="U21" s="3"/>
      <c r="V21" s="3"/>
      <c r="W21" s="2"/>
      <c r="X21" s="2"/>
      <c r="Y21" s="2"/>
      <c r="Z21" s="2"/>
      <c r="AA21" s="4"/>
      <c r="AB21" s="1"/>
      <c r="AC21" s="2"/>
      <c r="AD21" s="2"/>
      <c r="AE21" s="2"/>
      <c r="AF21" s="2"/>
      <c r="AG21" s="5"/>
      <c r="AH21" s="5"/>
      <c r="AI21" s="5"/>
      <c r="AJ21" s="5"/>
      <c r="AK21" s="5"/>
      <c r="AL21" s="2"/>
      <c r="AM21" s="2"/>
      <c r="AN21" s="2"/>
      <c r="AO21" s="2"/>
      <c r="AP21" s="4"/>
      <c r="AQ21" s="1"/>
      <c r="AR21" s="2"/>
      <c r="AS21" s="2"/>
      <c r="AT21" s="2"/>
      <c r="AU21" s="2"/>
      <c r="AV21" s="6"/>
      <c r="AW21" s="6"/>
      <c r="AX21" s="6"/>
      <c r="AY21" s="6"/>
      <c r="AZ21" s="6"/>
      <c r="BA21" s="2"/>
      <c r="BB21" s="2"/>
      <c r="BC21" s="2"/>
      <c r="BD21" s="2"/>
      <c r="BE21" s="4"/>
      <c r="BF21" s="1"/>
      <c r="BG21" s="2"/>
      <c r="BH21" s="2"/>
      <c r="BI21" s="2"/>
      <c r="BJ21" s="2"/>
      <c r="BK21" s="7"/>
      <c r="BL21" s="7"/>
      <c r="BM21" s="7"/>
      <c r="BN21" s="7"/>
      <c r="BO21" s="7"/>
      <c r="BP21" s="2"/>
      <c r="BQ21" s="2"/>
      <c r="BR21" s="2"/>
      <c r="BS21" s="2"/>
      <c r="BT21" s="4"/>
      <c r="BU21" s="38"/>
      <c r="BV21" s="39"/>
    </row>
    <row r="22" spans="2:74" ht="23.1" customHeight="1">
      <c r="B22" s="150">
        <v>3</v>
      </c>
      <c r="C22" s="185"/>
      <c r="D22" s="186"/>
      <c r="E22" s="142">
        <f>SUM(E23:E28)</f>
        <v>0</v>
      </c>
      <c r="F22" s="143">
        <f>SUM(F23:F28)</f>
        <v>0</v>
      </c>
      <c r="G22" s="144">
        <f>SUM(G23:G28)</f>
        <v>0</v>
      </c>
      <c r="H22" s="164"/>
      <c r="I22" s="165"/>
      <c r="J22" s="166"/>
      <c r="K22" s="167"/>
      <c r="L22" s="149" t="str">
        <f t="shared" si="0"/>
        <v/>
      </c>
      <c r="M22" s="16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6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8"/>
      <c r="BF22" s="16"/>
      <c r="BG22" s="17"/>
      <c r="BH22" s="17"/>
      <c r="BI22" s="17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8"/>
      <c r="BU22" s="38"/>
      <c r="BV22" s="39"/>
    </row>
    <row r="23" spans="2:74" ht="23.1" customHeight="1">
      <c r="B23" s="150">
        <v>3.1</v>
      </c>
      <c r="C23" s="151"/>
      <c r="D23" s="152"/>
      <c r="E23" s="153"/>
      <c r="F23" s="154"/>
      <c r="G23" s="155">
        <f t="shared" ref="G23:G28" si="3">E23-F23</f>
        <v>0</v>
      </c>
      <c r="H23" s="156"/>
      <c r="I23" s="157"/>
      <c r="J23" s="158"/>
      <c r="K23" s="159">
        <f t="shared" ref="K23:K28" si="4">J23-I23+1</f>
        <v>1</v>
      </c>
      <c r="L23" s="160" t="str">
        <f t="shared" si="0"/>
        <v/>
      </c>
      <c r="M23" s="1"/>
      <c r="N23" s="2"/>
      <c r="O23" s="2"/>
      <c r="P23" s="2"/>
      <c r="Q23" s="2"/>
      <c r="R23" s="3"/>
      <c r="S23" s="3"/>
      <c r="T23" s="3"/>
      <c r="U23" s="3"/>
      <c r="V23" s="3"/>
      <c r="W23" s="2"/>
      <c r="X23" s="2"/>
      <c r="Y23" s="2"/>
      <c r="Z23" s="2"/>
      <c r="AA23" s="4"/>
      <c r="AB23" s="1"/>
      <c r="AC23" s="2"/>
      <c r="AD23" s="2"/>
      <c r="AE23" s="2"/>
      <c r="AF23" s="2"/>
      <c r="AG23" s="5"/>
      <c r="AH23" s="5"/>
      <c r="AI23" s="5"/>
      <c r="AJ23" s="5"/>
      <c r="AK23" s="5"/>
      <c r="AL23" s="2"/>
      <c r="AM23" s="2"/>
      <c r="AN23" s="2"/>
      <c r="AO23" s="2"/>
      <c r="AP23" s="4"/>
      <c r="AQ23" s="29"/>
      <c r="AR23" s="2"/>
      <c r="AS23" s="2"/>
      <c r="AT23" s="2"/>
      <c r="AU23" s="2"/>
      <c r="AV23" s="6"/>
      <c r="AW23" s="6"/>
      <c r="AX23" s="6"/>
      <c r="AY23" s="6"/>
      <c r="AZ23" s="6"/>
      <c r="BA23" s="2"/>
      <c r="BB23" s="2"/>
      <c r="BC23" s="2"/>
      <c r="BD23" s="2"/>
      <c r="BE23" s="4"/>
      <c r="BF23" s="1"/>
      <c r="BG23" s="2"/>
      <c r="BH23" s="2"/>
      <c r="BI23" s="2"/>
      <c r="BJ23" s="2"/>
      <c r="BK23" s="7"/>
      <c r="BL23" s="7"/>
      <c r="BM23" s="7"/>
      <c r="BN23" s="7"/>
      <c r="BO23" s="7"/>
      <c r="BP23" s="2"/>
      <c r="BQ23" s="2"/>
      <c r="BR23" s="2"/>
      <c r="BS23" s="2"/>
      <c r="BT23" s="4"/>
      <c r="BU23" s="38"/>
      <c r="BV23" s="39"/>
    </row>
    <row r="24" spans="2:74" ht="23.1" customHeight="1">
      <c r="B24" s="150">
        <v>3.2</v>
      </c>
      <c r="C24" s="151"/>
      <c r="D24" s="152"/>
      <c r="E24" s="153"/>
      <c r="F24" s="154"/>
      <c r="G24" s="155">
        <f t="shared" si="3"/>
        <v>0</v>
      </c>
      <c r="H24" s="156"/>
      <c r="I24" s="157"/>
      <c r="J24" s="158"/>
      <c r="K24" s="159">
        <f t="shared" si="4"/>
        <v>1</v>
      </c>
      <c r="L24" s="160" t="str">
        <f t="shared" si="0"/>
        <v/>
      </c>
      <c r="M24" s="1"/>
      <c r="N24" s="2"/>
      <c r="O24" s="2"/>
      <c r="P24" s="2"/>
      <c r="Q24" s="2"/>
      <c r="R24" s="3"/>
      <c r="S24" s="3"/>
      <c r="T24" s="3"/>
      <c r="U24" s="3"/>
      <c r="V24" s="3"/>
      <c r="W24" s="2"/>
      <c r="X24" s="2"/>
      <c r="Y24" s="2"/>
      <c r="Z24" s="2"/>
      <c r="AA24" s="4"/>
      <c r="AB24" s="1"/>
      <c r="AC24" s="2"/>
      <c r="AD24" s="2"/>
      <c r="AE24" s="2"/>
      <c r="AF24" s="2"/>
      <c r="AG24" s="5"/>
      <c r="AH24" s="5"/>
      <c r="AI24" s="5"/>
      <c r="AJ24" s="5"/>
      <c r="AK24" s="5"/>
      <c r="AL24" s="2"/>
      <c r="AM24" s="2"/>
      <c r="AN24" s="2"/>
      <c r="AO24" s="2"/>
      <c r="AP24" s="4"/>
      <c r="AQ24" s="1"/>
      <c r="AR24" s="2"/>
      <c r="AS24" s="2"/>
      <c r="AT24" s="2"/>
      <c r="AU24" s="2"/>
      <c r="AV24" s="6"/>
      <c r="AW24" s="6"/>
      <c r="AX24" s="6"/>
      <c r="AY24" s="6"/>
      <c r="AZ24" s="6"/>
      <c r="BA24" s="2"/>
      <c r="BB24" s="2"/>
      <c r="BC24" s="2"/>
      <c r="BD24" s="2"/>
      <c r="BE24" s="4"/>
      <c r="BF24" s="1"/>
      <c r="BG24" s="2"/>
      <c r="BH24" s="2"/>
      <c r="BI24" s="2"/>
      <c r="BJ24" s="2"/>
      <c r="BK24" s="7"/>
      <c r="BL24" s="7"/>
      <c r="BM24" s="7"/>
      <c r="BN24" s="7"/>
      <c r="BO24" s="7"/>
      <c r="BP24" s="2"/>
      <c r="BQ24" s="2"/>
      <c r="BR24" s="2"/>
      <c r="BS24" s="2"/>
      <c r="BT24" s="4"/>
      <c r="BU24" s="38"/>
      <c r="BV24" s="39"/>
    </row>
    <row r="25" spans="2:74" ht="23.1" customHeight="1">
      <c r="B25" s="150" t="s">
        <v>37</v>
      </c>
      <c r="C25" s="161"/>
      <c r="D25" s="162"/>
      <c r="E25" s="153"/>
      <c r="F25" s="154"/>
      <c r="G25" s="155">
        <f t="shared" si="3"/>
        <v>0</v>
      </c>
      <c r="H25" s="163"/>
      <c r="I25" s="157"/>
      <c r="J25" s="158"/>
      <c r="K25" s="159">
        <f t="shared" si="4"/>
        <v>1</v>
      </c>
      <c r="L25" s="160" t="str">
        <f t="shared" si="0"/>
        <v/>
      </c>
      <c r="M25" s="1"/>
      <c r="N25" s="2"/>
      <c r="O25" s="2"/>
      <c r="P25" s="2"/>
      <c r="Q25" s="2"/>
      <c r="R25" s="3"/>
      <c r="S25" s="3"/>
      <c r="T25" s="3"/>
      <c r="U25" s="3"/>
      <c r="V25" s="3"/>
      <c r="W25" s="2"/>
      <c r="X25" s="2"/>
      <c r="Y25" s="2"/>
      <c r="Z25" s="2"/>
      <c r="AA25" s="4"/>
      <c r="AB25" s="1"/>
      <c r="AC25" s="2"/>
      <c r="AD25" s="2"/>
      <c r="AE25" s="2"/>
      <c r="AF25" s="2"/>
      <c r="AG25" s="5"/>
      <c r="AH25" s="5"/>
      <c r="AI25" s="5"/>
      <c r="AJ25" s="5"/>
      <c r="AK25" s="5"/>
      <c r="AL25" s="2"/>
      <c r="AM25" s="2"/>
      <c r="AN25" s="2"/>
      <c r="AO25" s="2"/>
      <c r="AP25" s="4"/>
      <c r="AQ25" s="1"/>
      <c r="AR25" s="2"/>
      <c r="AS25" s="2"/>
      <c r="AT25" s="2"/>
      <c r="AU25" s="2"/>
      <c r="AV25" s="6"/>
      <c r="AW25" s="6"/>
      <c r="AX25" s="6"/>
      <c r="AY25" s="6"/>
      <c r="AZ25" s="6"/>
      <c r="BA25" s="2"/>
      <c r="BB25" s="2"/>
      <c r="BC25" s="2"/>
      <c r="BD25" s="2"/>
      <c r="BE25" s="4"/>
      <c r="BF25" s="1"/>
      <c r="BG25" s="2"/>
      <c r="BH25" s="2"/>
      <c r="BI25" s="2"/>
      <c r="BJ25" s="2"/>
      <c r="BK25" s="7"/>
      <c r="BL25" s="7"/>
      <c r="BM25" s="7"/>
      <c r="BN25" s="7"/>
      <c r="BO25" s="7"/>
      <c r="BP25" s="2"/>
      <c r="BQ25" s="2"/>
      <c r="BR25" s="2"/>
      <c r="BS25" s="2"/>
      <c r="BT25" s="4"/>
      <c r="BU25" s="38"/>
      <c r="BV25" s="39"/>
    </row>
    <row r="26" spans="2:74" ht="23.1" customHeight="1">
      <c r="B26" s="150" t="s">
        <v>38</v>
      </c>
      <c r="C26" s="161"/>
      <c r="D26" s="162"/>
      <c r="E26" s="153"/>
      <c r="F26" s="154"/>
      <c r="G26" s="155">
        <f t="shared" si="3"/>
        <v>0</v>
      </c>
      <c r="H26" s="163"/>
      <c r="I26" s="157"/>
      <c r="J26" s="158"/>
      <c r="K26" s="159">
        <f t="shared" si="4"/>
        <v>1</v>
      </c>
      <c r="L26" s="160" t="str">
        <f t="shared" si="0"/>
        <v/>
      </c>
      <c r="M26" s="1"/>
      <c r="N26" s="2"/>
      <c r="O26" s="2"/>
      <c r="P26" s="2"/>
      <c r="Q26" s="2"/>
      <c r="R26" s="3"/>
      <c r="S26" s="3"/>
      <c r="T26" s="3"/>
      <c r="U26" s="3"/>
      <c r="V26" s="3"/>
      <c r="W26" s="2"/>
      <c r="X26" s="2"/>
      <c r="Y26" s="2"/>
      <c r="Z26" s="2"/>
      <c r="AA26" s="4"/>
      <c r="AB26" s="1"/>
      <c r="AC26" s="2"/>
      <c r="AD26" s="2"/>
      <c r="AE26" s="2"/>
      <c r="AF26" s="2"/>
      <c r="AG26" s="5"/>
      <c r="AH26" s="5"/>
      <c r="AI26" s="5"/>
      <c r="AJ26" s="5"/>
      <c r="AK26" s="5"/>
      <c r="AL26" s="2"/>
      <c r="AM26" s="2"/>
      <c r="AN26" s="2"/>
      <c r="AO26" s="2"/>
      <c r="AP26" s="4"/>
      <c r="AQ26" s="1"/>
      <c r="AR26" s="2"/>
      <c r="AS26" s="2"/>
      <c r="AT26" s="2"/>
      <c r="AU26" s="2"/>
      <c r="AV26" s="6"/>
      <c r="AW26" s="6"/>
      <c r="AX26" s="6"/>
      <c r="AY26" s="6"/>
      <c r="AZ26" s="6"/>
      <c r="BA26" s="2"/>
      <c r="BB26" s="2"/>
      <c r="BC26" s="2"/>
      <c r="BD26" s="2"/>
      <c r="BE26" s="4"/>
      <c r="BF26" s="1"/>
      <c r="BG26" s="2"/>
      <c r="BH26" s="2"/>
      <c r="BI26" s="2"/>
      <c r="BJ26" s="2"/>
      <c r="BK26" s="7"/>
      <c r="BL26" s="7"/>
      <c r="BM26" s="7"/>
      <c r="BN26" s="7"/>
      <c r="BO26" s="7"/>
      <c r="BP26" s="2"/>
      <c r="BQ26" s="2"/>
      <c r="BR26" s="2"/>
      <c r="BS26" s="2"/>
      <c r="BT26" s="4"/>
      <c r="BU26" s="38"/>
      <c r="BV26" s="39"/>
    </row>
    <row r="27" spans="2:74" ht="23.1" customHeight="1">
      <c r="B27" s="150">
        <v>3.3</v>
      </c>
      <c r="C27" s="151"/>
      <c r="D27" s="152"/>
      <c r="E27" s="153"/>
      <c r="F27" s="154"/>
      <c r="G27" s="155">
        <f t="shared" si="3"/>
        <v>0</v>
      </c>
      <c r="H27" s="156"/>
      <c r="I27" s="157"/>
      <c r="J27" s="158"/>
      <c r="K27" s="159">
        <f t="shared" si="4"/>
        <v>1</v>
      </c>
      <c r="L27" s="160" t="str">
        <f t="shared" si="0"/>
        <v/>
      </c>
      <c r="M27" s="1"/>
      <c r="N27" s="2"/>
      <c r="O27" s="2"/>
      <c r="P27" s="2"/>
      <c r="Q27" s="2"/>
      <c r="R27" s="3"/>
      <c r="S27" s="3"/>
      <c r="T27" s="3"/>
      <c r="U27" s="3"/>
      <c r="V27" s="3"/>
      <c r="W27" s="2"/>
      <c r="X27" s="2"/>
      <c r="Y27" s="2"/>
      <c r="Z27" s="2"/>
      <c r="AA27" s="4"/>
      <c r="AB27" s="1"/>
      <c r="AC27" s="2"/>
      <c r="AD27" s="2"/>
      <c r="AE27" s="2"/>
      <c r="AF27" s="2"/>
      <c r="AG27" s="5"/>
      <c r="AH27" s="5"/>
      <c r="AI27" s="5"/>
      <c r="AJ27" s="5"/>
      <c r="AK27" s="5"/>
      <c r="AL27" s="2"/>
      <c r="AM27" s="2"/>
      <c r="AN27" s="2"/>
      <c r="AO27" s="2"/>
      <c r="AP27" s="4"/>
      <c r="AQ27" s="1"/>
      <c r="AR27" s="2"/>
      <c r="AS27" s="2"/>
      <c r="AT27" s="2"/>
      <c r="AU27" s="2"/>
      <c r="AV27" s="6"/>
      <c r="AW27" s="6"/>
      <c r="AX27" s="6"/>
      <c r="AY27" s="6"/>
      <c r="AZ27" s="6"/>
      <c r="BA27" s="2"/>
      <c r="BB27" s="2"/>
      <c r="BC27" s="2"/>
      <c r="BD27" s="2"/>
      <c r="BE27" s="4"/>
      <c r="BF27" s="1"/>
      <c r="BG27" s="2"/>
      <c r="BH27" s="2"/>
      <c r="BI27" s="2"/>
      <c r="BJ27" s="2"/>
      <c r="BK27" s="7"/>
      <c r="BL27" s="7"/>
      <c r="BM27" s="7"/>
      <c r="BN27" s="7"/>
      <c r="BO27" s="7"/>
      <c r="BP27" s="2"/>
      <c r="BQ27" s="2"/>
      <c r="BR27" s="2"/>
      <c r="BS27" s="2"/>
      <c r="BT27" s="4"/>
      <c r="BU27" s="38"/>
      <c r="BV27" s="39"/>
    </row>
    <row r="28" spans="2:74" ht="23.1" customHeight="1">
      <c r="B28" s="150" t="s">
        <v>39</v>
      </c>
      <c r="C28" s="161"/>
      <c r="D28" s="162"/>
      <c r="E28" s="153"/>
      <c r="F28" s="154"/>
      <c r="G28" s="155">
        <f t="shared" si="3"/>
        <v>0</v>
      </c>
      <c r="H28" s="163"/>
      <c r="I28" s="157"/>
      <c r="J28" s="158"/>
      <c r="K28" s="159">
        <f t="shared" si="4"/>
        <v>1</v>
      </c>
      <c r="L28" s="160" t="str">
        <f t="shared" si="0"/>
        <v/>
      </c>
      <c r="M28" s="1"/>
      <c r="N28" s="2"/>
      <c r="O28" s="2"/>
      <c r="P28" s="2"/>
      <c r="Q28" s="2"/>
      <c r="R28" s="3"/>
      <c r="S28" s="3"/>
      <c r="T28" s="3"/>
      <c r="U28" s="3"/>
      <c r="V28" s="3"/>
      <c r="W28" s="2"/>
      <c r="X28" s="2"/>
      <c r="Y28" s="2"/>
      <c r="Z28" s="2"/>
      <c r="AA28" s="4"/>
      <c r="AB28" s="1"/>
      <c r="AC28" s="2"/>
      <c r="AD28" s="2"/>
      <c r="AE28" s="2"/>
      <c r="AF28" s="2"/>
      <c r="AG28" s="5"/>
      <c r="AH28" s="5"/>
      <c r="AI28" s="5"/>
      <c r="AJ28" s="5"/>
      <c r="AK28" s="5"/>
      <c r="AL28" s="2"/>
      <c r="AM28" s="2"/>
      <c r="AN28" s="2"/>
      <c r="AO28" s="2"/>
      <c r="AP28" s="4"/>
      <c r="AQ28" s="1"/>
      <c r="AR28" s="2"/>
      <c r="AS28" s="2"/>
      <c r="AT28" s="2"/>
      <c r="AU28" s="2"/>
      <c r="AV28" s="6"/>
      <c r="AW28" s="6"/>
      <c r="AX28" s="6"/>
      <c r="AY28" s="6"/>
      <c r="AZ28" s="6"/>
      <c r="BA28" s="2"/>
      <c r="BB28" s="2"/>
      <c r="BC28" s="2"/>
      <c r="BD28" s="2"/>
      <c r="BE28" s="4"/>
      <c r="BF28" s="1"/>
      <c r="BG28" s="2"/>
      <c r="BH28" s="2"/>
      <c r="BI28" s="2"/>
      <c r="BJ28" s="2"/>
      <c r="BK28" s="7"/>
      <c r="BL28" s="7"/>
      <c r="BM28" s="7"/>
      <c r="BN28" s="7"/>
      <c r="BO28" s="7"/>
      <c r="BP28" s="2"/>
      <c r="BQ28" s="2"/>
      <c r="BR28" s="2"/>
      <c r="BS28" s="2"/>
      <c r="BT28" s="4"/>
      <c r="BU28" s="38"/>
      <c r="BV28" s="39"/>
    </row>
    <row r="29" spans="2:74" ht="23.1" customHeight="1">
      <c r="B29" s="150">
        <v>4</v>
      </c>
      <c r="C29" s="185"/>
      <c r="D29" s="186"/>
      <c r="E29" s="142">
        <f>SUM(E30:E33)</f>
        <v>0</v>
      </c>
      <c r="F29" s="143">
        <f>SUM(F30:F33)</f>
        <v>0</v>
      </c>
      <c r="G29" s="144">
        <f>SUM(G30:G33)</f>
        <v>0</v>
      </c>
      <c r="H29" s="164"/>
      <c r="I29" s="165"/>
      <c r="J29" s="166"/>
      <c r="K29" s="167"/>
      <c r="L29" s="149" t="str">
        <f t="shared" si="0"/>
        <v/>
      </c>
      <c r="M29" s="16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  <c r="AQ29" s="16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BC29" s="17"/>
      <c r="BD29" s="17"/>
      <c r="BE29" s="18"/>
      <c r="BF29" s="16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8"/>
      <c r="BU29" s="38"/>
      <c r="BV29" s="39"/>
    </row>
    <row r="30" spans="2:74" ht="23.1" customHeight="1">
      <c r="B30" s="150">
        <v>4.0999999999999996</v>
      </c>
      <c r="C30" s="151"/>
      <c r="D30" s="152"/>
      <c r="E30" s="153"/>
      <c r="F30" s="154"/>
      <c r="G30" s="155">
        <f>E30-F30</f>
        <v>0</v>
      </c>
      <c r="H30" s="156"/>
      <c r="I30" s="157"/>
      <c r="J30" s="158"/>
      <c r="K30" s="159">
        <f>J30-I30+1</f>
        <v>1</v>
      </c>
      <c r="L30" s="160" t="str">
        <f t="shared" si="0"/>
        <v/>
      </c>
      <c r="M30" s="1"/>
      <c r="N30" s="2"/>
      <c r="O30" s="2"/>
      <c r="P30" s="2"/>
      <c r="Q30" s="2"/>
      <c r="R30" s="3"/>
      <c r="S30" s="3"/>
      <c r="T30" s="3"/>
      <c r="U30" s="3"/>
      <c r="V30" s="3"/>
      <c r="W30" s="2"/>
      <c r="X30" s="2"/>
      <c r="Y30" s="2"/>
      <c r="Z30" s="2"/>
      <c r="AA30" s="4"/>
      <c r="AB30" s="1"/>
      <c r="AC30" s="2"/>
      <c r="AD30" s="2"/>
      <c r="AE30" s="2"/>
      <c r="AF30" s="2"/>
      <c r="AG30" s="5"/>
      <c r="AH30" s="5"/>
      <c r="AI30" s="5"/>
      <c r="AJ30" s="5"/>
      <c r="AK30" s="5"/>
      <c r="AL30" s="2"/>
      <c r="AM30" s="2"/>
      <c r="AN30" s="2"/>
      <c r="AO30" s="2"/>
      <c r="AP30" s="4"/>
      <c r="AQ30" s="1"/>
      <c r="AR30" s="2"/>
      <c r="AS30" s="2"/>
      <c r="AT30" s="2"/>
      <c r="AU30" s="2"/>
      <c r="AV30" s="6"/>
      <c r="AW30" s="6"/>
      <c r="AX30" s="6"/>
      <c r="AY30" s="6"/>
      <c r="AZ30" s="6"/>
      <c r="BA30" s="2"/>
      <c r="BB30" s="2"/>
      <c r="BC30" s="2"/>
      <c r="BD30" s="2"/>
      <c r="BE30" s="4"/>
      <c r="BF30" s="30"/>
      <c r="BG30" s="2"/>
      <c r="BH30" s="2"/>
      <c r="BI30" s="2"/>
      <c r="BJ30" s="2"/>
      <c r="BK30" s="7"/>
      <c r="BL30" s="7"/>
      <c r="BM30" s="7"/>
      <c r="BN30" s="7"/>
      <c r="BO30" s="7"/>
      <c r="BP30" s="2"/>
      <c r="BQ30" s="2"/>
      <c r="BR30" s="2"/>
      <c r="BS30" s="2"/>
      <c r="BT30" s="4"/>
      <c r="BU30" s="38"/>
      <c r="BV30" s="39"/>
    </row>
    <row r="31" spans="2:74" ht="23.1" customHeight="1">
      <c r="B31" s="150">
        <v>4.2</v>
      </c>
      <c r="C31" s="151"/>
      <c r="D31" s="152"/>
      <c r="E31" s="153"/>
      <c r="F31" s="154"/>
      <c r="G31" s="155">
        <f>E31-F31</f>
        <v>0</v>
      </c>
      <c r="H31" s="156"/>
      <c r="I31" s="157"/>
      <c r="J31" s="158"/>
      <c r="K31" s="159">
        <f>J31-I31+1</f>
        <v>1</v>
      </c>
      <c r="L31" s="160" t="str">
        <f t="shared" si="0"/>
        <v/>
      </c>
      <c r="M31" s="1"/>
      <c r="N31" s="2"/>
      <c r="O31" s="2"/>
      <c r="P31" s="2"/>
      <c r="Q31" s="2"/>
      <c r="R31" s="3"/>
      <c r="S31" s="3"/>
      <c r="T31" s="3"/>
      <c r="U31" s="3"/>
      <c r="V31" s="3"/>
      <c r="W31" s="2"/>
      <c r="X31" s="2"/>
      <c r="Y31" s="2"/>
      <c r="Z31" s="2"/>
      <c r="AA31" s="4"/>
      <c r="AB31" s="1"/>
      <c r="AC31" s="2"/>
      <c r="AD31" s="2"/>
      <c r="AE31" s="2"/>
      <c r="AF31" s="2"/>
      <c r="AG31" s="5"/>
      <c r="AH31" s="5"/>
      <c r="AI31" s="5"/>
      <c r="AJ31" s="5"/>
      <c r="AK31" s="5"/>
      <c r="AL31" s="2"/>
      <c r="AM31" s="2"/>
      <c r="AN31" s="2"/>
      <c r="AO31" s="2"/>
      <c r="AP31" s="4"/>
      <c r="AQ31" s="1"/>
      <c r="AR31" s="2"/>
      <c r="AS31" s="2"/>
      <c r="AT31" s="2"/>
      <c r="AU31" s="2"/>
      <c r="AV31" s="6"/>
      <c r="AW31" s="6"/>
      <c r="AX31" s="6"/>
      <c r="AY31" s="6"/>
      <c r="AZ31" s="6"/>
      <c r="BA31" s="2"/>
      <c r="BB31" s="2"/>
      <c r="BC31" s="2"/>
      <c r="BD31" s="2"/>
      <c r="BE31" s="4"/>
      <c r="BF31" s="1"/>
      <c r="BG31" s="2"/>
      <c r="BH31" s="2"/>
      <c r="BI31" s="2"/>
      <c r="BJ31" s="2"/>
      <c r="BK31" s="7"/>
      <c r="BL31" s="7"/>
      <c r="BM31" s="7"/>
      <c r="BN31" s="7"/>
      <c r="BO31" s="7"/>
      <c r="BP31" s="2"/>
      <c r="BQ31" s="2"/>
      <c r="BR31" s="2"/>
      <c r="BS31" s="2"/>
      <c r="BT31" s="4"/>
      <c r="BU31" s="38"/>
      <c r="BV31" s="39"/>
    </row>
    <row r="32" spans="2:74" ht="23.1" customHeight="1">
      <c r="B32" s="150">
        <v>4.3</v>
      </c>
      <c r="C32" s="151"/>
      <c r="D32" s="168"/>
      <c r="E32" s="153"/>
      <c r="F32" s="154"/>
      <c r="G32" s="155">
        <f>E32-F32</f>
        <v>0</v>
      </c>
      <c r="H32" s="156"/>
      <c r="I32" s="157"/>
      <c r="J32" s="158"/>
      <c r="K32" s="159">
        <f>J32-I32+1</f>
        <v>1</v>
      </c>
      <c r="L32" s="160" t="str">
        <f t="shared" si="0"/>
        <v/>
      </c>
      <c r="M32" s="1"/>
      <c r="N32" s="2"/>
      <c r="O32" s="2"/>
      <c r="P32" s="2"/>
      <c r="Q32" s="2"/>
      <c r="R32" s="3"/>
      <c r="S32" s="3"/>
      <c r="T32" s="3"/>
      <c r="U32" s="3"/>
      <c r="V32" s="3"/>
      <c r="W32" s="2"/>
      <c r="X32" s="2"/>
      <c r="Y32" s="2"/>
      <c r="Z32" s="2"/>
      <c r="AA32" s="4"/>
      <c r="AB32" s="1"/>
      <c r="AC32" s="2"/>
      <c r="AD32" s="2"/>
      <c r="AE32" s="2"/>
      <c r="AF32" s="2"/>
      <c r="AG32" s="5"/>
      <c r="AH32" s="5"/>
      <c r="AI32" s="5"/>
      <c r="AJ32" s="5"/>
      <c r="AK32" s="5"/>
      <c r="AL32" s="2"/>
      <c r="AM32" s="2"/>
      <c r="AN32" s="2"/>
      <c r="AO32" s="2"/>
      <c r="AP32" s="4"/>
      <c r="AQ32" s="1"/>
      <c r="AR32" s="2"/>
      <c r="AS32" s="2"/>
      <c r="AT32" s="2"/>
      <c r="AU32" s="2"/>
      <c r="AV32" s="6"/>
      <c r="AW32" s="6"/>
      <c r="AX32" s="6"/>
      <c r="AY32" s="6"/>
      <c r="AZ32" s="6"/>
      <c r="BA32" s="2"/>
      <c r="BB32" s="2"/>
      <c r="BC32" s="2"/>
      <c r="BD32" s="2"/>
      <c r="BE32" s="4"/>
      <c r="BF32" s="1"/>
      <c r="BG32" s="2"/>
      <c r="BH32" s="2"/>
      <c r="BI32" s="2"/>
      <c r="BJ32" s="2"/>
      <c r="BK32" s="7"/>
      <c r="BL32" s="7"/>
      <c r="BM32" s="7"/>
      <c r="BN32" s="7"/>
      <c r="BO32" s="7"/>
      <c r="BP32" s="2"/>
      <c r="BQ32" s="2"/>
      <c r="BR32" s="2"/>
      <c r="BS32" s="2"/>
      <c r="BT32" s="4"/>
      <c r="BU32" s="38"/>
      <c r="BV32" s="39"/>
    </row>
    <row r="33" spans="2:74" ht="23.1" customHeight="1" thickBot="1">
      <c r="B33" s="169" t="s">
        <v>40</v>
      </c>
      <c r="C33" s="170"/>
      <c r="D33" s="171"/>
      <c r="E33" s="172"/>
      <c r="F33" s="173"/>
      <c r="G33" s="174">
        <f>E33-F33</f>
        <v>0</v>
      </c>
      <c r="H33" s="175"/>
      <c r="I33" s="176"/>
      <c r="J33" s="177"/>
      <c r="K33" s="178">
        <f>J33-I33+1</f>
        <v>1</v>
      </c>
      <c r="L33" s="179" t="str">
        <f t="shared" si="0"/>
        <v/>
      </c>
      <c r="M33" s="8"/>
      <c r="N33" s="9"/>
      <c r="O33" s="9"/>
      <c r="P33" s="9"/>
      <c r="Q33" s="9"/>
      <c r="R33" s="10"/>
      <c r="S33" s="10"/>
      <c r="T33" s="10"/>
      <c r="U33" s="10"/>
      <c r="V33" s="10"/>
      <c r="W33" s="9"/>
      <c r="X33" s="9"/>
      <c r="Y33" s="9"/>
      <c r="Z33" s="9"/>
      <c r="AA33" s="11"/>
      <c r="AB33" s="8"/>
      <c r="AC33" s="9"/>
      <c r="AD33" s="9"/>
      <c r="AE33" s="9"/>
      <c r="AF33" s="9"/>
      <c r="AG33" s="12"/>
      <c r="AH33" s="12"/>
      <c r="AI33" s="12"/>
      <c r="AJ33" s="12"/>
      <c r="AK33" s="12"/>
      <c r="AL33" s="9"/>
      <c r="AM33" s="9"/>
      <c r="AN33" s="9"/>
      <c r="AO33" s="9"/>
      <c r="AP33" s="11"/>
      <c r="AQ33" s="8"/>
      <c r="AR33" s="9"/>
      <c r="AS33" s="9"/>
      <c r="AT33" s="9"/>
      <c r="AU33" s="9"/>
      <c r="AV33" s="13"/>
      <c r="AW33" s="13"/>
      <c r="AX33" s="13"/>
      <c r="AY33" s="13"/>
      <c r="AZ33" s="13"/>
      <c r="BA33" s="9"/>
      <c r="BB33" s="9"/>
      <c r="BC33" s="9"/>
      <c r="BD33" s="9"/>
      <c r="BE33" s="11"/>
      <c r="BF33" s="8"/>
      <c r="BG33" s="9"/>
      <c r="BH33" s="9"/>
      <c r="BI33" s="9"/>
      <c r="BJ33" s="9"/>
      <c r="BK33" s="14"/>
      <c r="BL33" s="14"/>
      <c r="BM33" s="14"/>
      <c r="BN33" s="14"/>
      <c r="BO33" s="14"/>
      <c r="BP33" s="9"/>
      <c r="BQ33" s="9"/>
      <c r="BR33" s="9"/>
      <c r="BS33" s="9"/>
      <c r="BT33" s="11"/>
      <c r="BU33" s="38"/>
      <c r="BV33" s="39"/>
    </row>
    <row r="34" spans="2:74" ht="23.1" customHeight="1">
      <c r="B34" s="38"/>
      <c r="C34" s="38"/>
      <c r="D34" s="38"/>
      <c r="E34" s="92" t="s">
        <v>28</v>
      </c>
      <c r="F34" s="92" t="s">
        <v>29</v>
      </c>
      <c r="G34" s="92" t="s">
        <v>30</v>
      </c>
      <c r="H34" s="92" t="s">
        <v>41</v>
      </c>
      <c r="I34" s="92" t="s">
        <v>42</v>
      </c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9"/>
    </row>
    <row r="35" spans="2:74" ht="23.1" customHeight="1">
      <c r="B35" s="38"/>
      <c r="C35" s="36" t="s">
        <v>43</v>
      </c>
      <c r="D35" s="93" t="s">
        <v>44</v>
      </c>
      <c r="E35" s="94">
        <f>SUM(E10:E16,E18:E21,E23:E28,E30:E33)</f>
        <v>0</v>
      </c>
      <c r="F35" s="94">
        <f>SUM(F10:F16,F18:F21,F23:F28,F30:F33)</f>
        <v>0</v>
      </c>
      <c r="G35" s="94">
        <f>SUM(G10:G16,G18:G21,G23:G28,G30:G33)</f>
        <v>0</v>
      </c>
      <c r="H35" s="181">
        <v>60</v>
      </c>
      <c r="I35" s="180">
        <f>E35/H35</f>
        <v>0</v>
      </c>
      <c r="J35" s="38"/>
      <c r="K35" s="38"/>
      <c r="L35" s="182" t="s">
        <v>45</v>
      </c>
      <c r="M35" s="95">
        <v>1</v>
      </c>
      <c r="N35" s="95">
        <v>2</v>
      </c>
      <c r="O35" s="95">
        <v>3</v>
      </c>
      <c r="P35" s="95">
        <v>4</v>
      </c>
      <c r="Q35" s="95">
        <v>5</v>
      </c>
      <c r="R35" s="95">
        <v>6</v>
      </c>
      <c r="S35" s="95">
        <v>7</v>
      </c>
      <c r="T35" s="95">
        <v>8</v>
      </c>
      <c r="U35" s="95">
        <v>9</v>
      </c>
      <c r="V35" s="95">
        <v>10</v>
      </c>
      <c r="W35" s="95">
        <v>11</v>
      </c>
      <c r="X35" s="95">
        <v>12</v>
      </c>
      <c r="Y35" s="95">
        <v>13</v>
      </c>
      <c r="Z35" s="95">
        <v>14</v>
      </c>
      <c r="AA35" s="95">
        <v>15</v>
      </c>
      <c r="AB35" s="95">
        <v>16</v>
      </c>
      <c r="AC35" s="95">
        <v>17</v>
      </c>
      <c r="AD35" s="95">
        <v>18</v>
      </c>
      <c r="AE35" s="95">
        <v>19</v>
      </c>
      <c r="AF35" s="95">
        <v>20</v>
      </c>
      <c r="AG35" s="95">
        <v>21</v>
      </c>
      <c r="AH35" s="95">
        <v>22</v>
      </c>
      <c r="AI35" s="95">
        <v>23</v>
      </c>
      <c r="AJ35" s="95">
        <v>24</v>
      </c>
      <c r="AK35" s="95">
        <v>25</v>
      </c>
      <c r="AL35" s="95">
        <v>26</v>
      </c>
      <c r="AM35" s="95">
        <v>27</v>
      </c>
      <c r="AN35" s="95">
        <v>28</v>
      </c>
      <c r="AO35" s="95">
        <v>29</v>
      </c>
      <c r="AP35" s="95">
        <v>30</v>
      </c>
      <c r="AQ35" s="95">
        <v>31</v>
      </c>
      <c r="AR35" s="95">
        <v>32</v>
      </c>
      <c r="AS35" s="95">
        <v>33</v>
      </c>
      <c r="AT35" s="95">
        <v>34</v>
      </c>
      <c r="AU35" s="95">
        <v>35</v>
      </c>
      <c r="AV35" s="95">
        <v>36</v>
      </c>
      <c r="AW35" s="95">
        <v>37</v>
      </c>
      <c r="AX35" s="95">
        <v>38</v>
      </c>
      <c r="AY35" s="95">
        <v>39</v>
      </c>
      <c r="AZ35" s="95">
        <v>40</v>
      </c>
      <c r="BA35" s="95">
        <v>41</v>
      </c>
      <c r="BB35" s="95">
        <v>42</v>
      </c>
      <c r="BC35" s="95">
        <v>43</v>
      </c>
      <c r="BD35" s="95">
        <v>44</v>
      </c>
      <c r="BE35" s="95">
        <v>45</v>
      </c>
      <c r="BF35" s="95">
        <v>46</v>
      </c>
      <c r="BG35" s="95">
        <v>47</v>
      </c>
      <c r="BH35" s="95">
        <v>48</v>
      </c>
      <c r="BI35" s="95">
        <v>49</v>
      </c>
      <c r="BJ35" s="95">
        <v>50</v>
      </c>
      <c r="BK35" s="95">
        <v>51</v>
      </c>
      <c r="BL35" s="95">
        <v>52</v>
      </c>
      <c r="BM35" s="95">
        <v>53</v>
      </c>
      <c r="BN35" s="95">
        <v>54</v>
      </c>
      <c r="BO35" s="95">
        <v>55</v>
      </c>
      <c r="BP35" s="95">
        <v>56</v>
      </c>
      <c r="BQ35" s="95">
        <v>57</v>
      </c>
      <c r="BR35" s="95">
        <v>58</v>
      </c>
      <c r="BS35" s="95">
        <v>59</v>
      </c>
      <c r="BT35" s="95">
        <v>60</v>
      </c>
      <c r="BU35" s="38"/>
      <c r="BV35" s="137" t="s">
        <v>46</v>
      </c>
    </row>
    <row r="36" spans="2:74" ht="23.1" customHeight="1">
      <c r="B36" s="38"/>
      <c r="C36" s="38"/>
      <c r="D36" s="38"/>
      <c r="E36" s="38"/>
      <c r="F36" s="38"/>
      <c r="G36" s="38"/>
      <c r="H36" s="96" t="s">
        <v>47</v>
      </c>
      <c r="I36" s="38"/>
      <c r="J36" s="38"/>
      <c r="K36" s="38"/>
      <c r="L36" s="182" t="s">
        <v>48</v>
      </c>
      <c r="M36" s="97">
        <f>E35</f>
        <v>0</v>
      </c>
      <c r="N36" s="98">
        <f>M36-I35</f>
        <v>0</v>
      </c>
      <c r="O36" s="98">
        <f>N36-I35</f>
        <v>0</v>
      </c>
      <c r="P36" s="98">
        <f>O36-I35</f>
        <v>0</v>
      </c>
      <c r="Q36" s="98">
        <f>P36-I35</f>
        <v>0</v>
      </c>
      <c r="R36" s="98">
        <f>Q36-I35</f>
        <v>0</v>
      </c>
      <c r="S36" s="98">
        <f>R36-I35</f>
        <v>0</v>
      </c>
      <c r="T36" s="98">
        <f>S36-I35</f>
        <v>0</v>
      </c>
      <c r="U36" s="98">
        <f>T36-I35</f>
        <v>0</v>
      </c>
      <c r="V36" s="98">
        <f>U36-I35</f>
        <v>0</v>
      </c>
      <c r="W36" s="98">
        <f>V36-I35</f>
        <v>0</v>
      </c>
      <c r="X36" s="98">
        <f>W36-I35</f>
        <v>0</v>
      </c>
      <c r="Y36" s="98">
        <f>X36-I35</f>
        <v>0</v>
      </c>
      <c r="Z36" s="98">
        <f>Y36-I35</f>
        <v>0</v>
      </c>
      <c r="AA36" s="98">
        <f>Z36-I35</f>
        <v>0</v>
      </c>
      <c r="AB36" s="98">
        <f>AA36-I35</f>
        <v>0</v>
      </c>
      <c r="AC36" s="98">
        <f>AB36-I35</f>
        <v>0</v>
      </c>
      <c r="AD36" s="98">
        <f>AC36-I35</f>
        <v>0</v>
      </c>
      <c r="AE36" s="98">
        <f>AD36-I35</f>
        <v>0</v>
      </c>
      <c r="AF36" s="98">
        <f>AE36-I35</f>
        <v>0</v>
      </c>
      <c r="AG36" s="98">
        <f>AF36-I35</f>
        <v>0</v>
      </c>
      <c r="AH36" s="98">
        <f>AG36-I35</f>
        <v>0</v>
      </c>
      <c r="AI36" s="98">
        <f>AH36-I35</f>
        <v>0</v>
      </c>
      <c r="AJ36" s="98">
        <f>AI36-I35</f>
        <v>0</v>
      </c>
      <c r="AK36" s="98">
        <f>AJ36-I35</f>
        <v>0</v>
      </c>
      <c r="AL36" s="98">
        <f>AK36-I35</f>
        <v>0</v>
      </c>
      <c r="AM36" s="98">
        <f>AL36-I35</f>
        <v>0</v>
      </c>
      <c r="AN36" s="98">
        <f>AM36-I35</f>
        <v>0</v>
      </c>
      <c r="AO36" s="98">
        <f>AN36-I35</f>
        <v>0</v>
      </c>
      <c r="AP36" s="98">
        <f>AO36-I35</f>
        <v>0</v>
      </c>
      <c r="AQ36" s="98">
        <f>AP36-I35</f>
        <v>0</v>
      </c>
      <c r="AR36" s="98">
        <f>AQ36-I35</f>
        <v>0</v>
      </c>
      <c r="AS36" s="98">
        <f>AR36-I35</f>
        <v>0</v>
      </c>
      <c r="AT36" s="98">
        <f>AS36-I35</f>
        <v>0</v>
      </c>
      <c r="AU36" s="98">
        <f>AT36-I35</f>
        <v>0</v>
      </c>
      <c r="AV36" s="98">
        <f>AU36-I35</f>
        <v>0</v>
      </c>
      <c r="AW36" s="98">
        <f>AV36-I35</f>
        <v>0</v>
      </c>
      <c r="AX36" s="98">
        <f>AW36-I35</f>
        <v>0</v>
      </c>
      <c r="AY36" s="98">
        <f>AX36-I35</f>
        <v>0</v>
      </c>
      <c r="AZ36" s="98">
        <f>AY36-I35</f>
        <v>0</v>
      </c>
      <c r="BA36" s="98">
        <f>AZ36-I35</f>
        <v>0</v>
      </c>
      <c r="BB36" s="98">
        <f>BA36-I35</f>
        <v>0</v>
      </c>
      <c r="BC36" s="98">
        <f>BB36-I35</f>
        <v>0</v>
      </c>
      <c r="BD36" s="98">
        <f>BC36-I35</f>
        <v>0</v>
      </c>
      <c r="BE36" s="98">
        <f>BD36-I35</f>
        <v>0</v>
      </c>
      <c r="BF36" s="98">
        <f>BE36-I35</f>
        <v>0</v>
      </c>
      <c r="BG36" s="98">
        <f>BF36-I35</f>
        <v>0</v>
      </c>
      <c r="BH36" s="98">
        <f>BG36-I35</f>
        <v>0</v>
      </c>
      <c r="BI36" s="98">
        <f>BH36-I35</f>
        <v>0</v>
      </c>
      <c r="BJ36" s="98">
        <f>BI36-I35</f>
        <v>0</v>
      </c>
      <c r="BK36" s="98">
        <f>BJ36-I35</f>
        <v>0</v>
      </c>
      <c r="BL36" s="98">
        <f>BK36-I35</f>
        <v>0</v>
      </c>
      <c r="BM36" s="98">
        <f>BL36-I35</f>
        <v>0</v>
      </c>
      <c r="BN36" s="98">
        <f>BM36-I35</f>
        <v>0</v>
      </c>
      <c r="BO36" s="98">
        <f>BN36-I35</f>
        <v>0</v>
      </c>
      <c r="BP36" s="98">
        <f>BO36-I35</f>
        <v>0</v>
      </c>
      <c r="BQ36" s="98">
        <f>BP36-I35</f>
        <v>0</v>
      </c>
      <c r="BR36" s="98">
        <f>BQ36-I35</f>
        <v>0</v>
      </c>
      <c r="BS36" s="98">
        <f>BR36-I35</f>
        <v>0</v>
      </c>
      <c r="BT36" s="98">
        <f>BS36-I35</f>
        <v>0</v>
      </c>
      <c r="BU36" s="38"/>
      <c r="BV36" s="138" t="s">
        <v>49</v>
      </c>
    </row>
    <row r="37" spans="2:74" ht="23.1" customHeight="1"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182" t="s">
        <v>28</v>
      </c>
      <c r="M37" s="97">
        <f>E35</f>
        <v>0</v>
      </c>
      <c r="N37" s="97">
        <f t="shared" ref="N37:AS37" si="5">M39</f>
        <v>0</v>
      </c>
      <c r="O37" s="97">
        <f t="shared" si="5"/>
        <v>0</v>
      </c>
      <c r="P37" s="97">
        <f t="shared" si="5"/>
        <v>0</v>
      </c>
      <c r="Q37" s="97">
        <f t="shared" si="5"/>
        <v>0</v>
      </c>
      <c r="R37" s="97">
        <f t="shared" si="5"/>
        <v>0</v>
      </c>
      <c r="S37" s="97">
        <f t="shared" si="5"/>
        <v>0</v>
      </c>
      <c r="T37" s="97">
        <f t="shared" si="5"/>
        <v>0</v>
      </c>
      <c r="U37" s="97">
        <f t="shared" si="5"/>
        <v>0</v>
      </c>
      <c r="V37" s="97">
        <f t="shared" si="5"/>
        <v>0</v>
      </c>
      <c r="W37" s="97">
        <f t="shared" si="5"/>
        <v>0</v>
      </c>
      <c r="X37" s="97">
        <f t="shared" si="5"/>
        <v>0</v>
      </c>
      <c r="Y37" s="97">
        <f t="shared" si="5"/>
        <v>0</v>
      </c>
      <c r="Z37" s="97">
        <f t="shared" si="5"/>
        <v>0</v>
      </c>
      <c r="AA37" s="97">
        <f t="shared" si="5"/>
        <v>0</v>
      </c>
      <c r="AB37" s="97">
        <f t="shared" si="5"/>
        <v>0</v>
      </c>
      <c r="AC37" s="97">
        <f t="shared" si="5"/>
        <v>0</v>
      </c>
      <c r="AD37" s="97">
        <f t="shared" si="5"/>
        <v>0</v>
      </c>
      <c r="AE37" s="97">
        <f t="shared" si="5"/>
        <v>0</v>
      </c>
      <c r="AF37" s="97">
        <f t="shared" si="5"/>
        <v>0</v>
      </c>
      <c r="AG37" s="97">
        <f t="shared" si="5"/>
        <v>0</v>
      </c>
      <c r="AH37" s="97">
        <f t="shared" si="5"/>
        <v>0</v>
      </c>
      <c r="AI37" s="97">
        <f t="shared" si="5"/>
        <v>0</v>
      </c>
      <c r="AJ37" s="97">
        <f t="shared" si="5"/>
        <v>0</v>
      </c>
      <c r="AK37" s="97">
        <f t="shared" si="5"/>
        <v>0</v>
      </c>
      <c r="AL37" s="97">
        <f t="shared" si="5"/>
        <v>0</v>
      </c>
      <c r="AM37" s="97">
        <f t="shared" si="5"/>
        <v>0</v>
      </c>
      <c r="AN37" s="97">
        <f t="shared" si="5"/>
        <v>0</v>
      </c>
      <c r="AO37" s="97">
        <f t="shared" si="5"/>
        <v>0</v>
      </c>
      <c r="AP37" s="97">
        <f t="shared" si="5"/>
        <v>0</v>
      </c>
      <c r="AQ37" s="97">
        <f t="shared" si="5"/>
        <v>0</v>
      </c>
      <c r="AR37" s="97">
        <f t="shared" si="5"/>
        <v>0</v>
      </c>
      <c r="AS37" s="97">
        <f t="shared" si="5"/>
        <v>0</v>
      </c>
      <c r="AT37" s="97">
        <f t="shared" ref="AT37:BT37" si="6">AS39</f>
        <v>0</v>
      </c>
      <c r="AU37" s="97">
        <f t="shared" si="6"/>
        <v>0</v>
      </c>
      <c r="AV37" s="97">
        <f t="shared" si="6"/>
        <v>0</v>
      </c>
      <c r="AW37" s="97">
        <f t="shared" si="6"/>
        <v>0</v>
      </c>
      <c r="AX37" s="97">
        <f t="shared" si="6"/>
        <v>0</v>
      </c>
      <c r="AY37" s="97">
        <f t="shared" si="6"/>
        <v>0</v>
      </c>
      <c r="AZ37" s="97">
        <f t="shared" si="6"/>
        <v>0</v>
      </c>
      <c r="BA37" s="97">
        <f t="shared" si="6"/>
        <v>0</v>
      </c>
      <c r="BB37" s="97">
        <f t="shared" si="6"/>
        <v>0</v>
      </c>
      <c r="BC37" s="97">
        <f t="shared" si="6"/>
        <v>0</v>
      </c>
      <c r="BD37" s="97">
        <f t="shared" si="6"/>
        <v>0</v>
      </c>
      <c r="BE37" s="97">
        <f t="shared" si="6"/>
        <v>0</v>
      </c>
      <c r="BF37" s="97">
        <f t="shared" si="6"/>
        <v>0</v>
      </c>
      <c r="BG37" s="97">
        <f t="shared" si="6"/>
        <v>0</v>
      </c>
      <c r="BH37" s="97">
        <f t="shared" si="6"/>
        <v>0</v>
      </c>
      <c r="BI37" s="97">
        <f t="shared" si="6"/>
        <v>0</v>
      </c>
      <c r="BJ37" s="97">
        <f t="shared" si="6"/>
        <v>0</v>
      </c>
      <c r="BK37" s="97">
        <f t="shared" si="6"/>
        <v>0</v>
      </c>
      <c r="BL37" s="97">
        <f t="shared" si="6"/>
        <v>0</v>
      </c>
      <c r="BM37" s="97">
        <f t="shared" si="6"/>
        <v>0</v>
      </c>
      <c r="BN37" s="97">
        <f t="shared" si="6"/>
        <v>0</v>
      </c>
      <c r="BO37" s="97">
        <f t="shared" si="6"/>
        <v>0</v>
      </c>
      <c r="BP37" s="97">
        <f t="shared" si="6"/>
        <v>0</v>
      </c>
      <c r="BQ37" s="97">
        <f t="shared" si="6"/>
        <v>0</v>
      </c>
      <c r="BR37" s="97">
        <f t="shared" si="6"/>
        <v>0</v>
      </c>
      <c r="BS37" s="97">
        <f t="shared" si="6"/>
        <v>0</v>
      </c>
      <c r="BT37" s="97">
        <f t="shared" si="6"/>
        <v>0</v>
      </c>
      <c r="BU37" s="38"/>
      <c r="BV37" s="139">
        <f>SUM(M37:BT37)</f>
        <v>0</v>
      </c>
    </row>
    <row r="38" spans="2:74" ht="23.1" customHeight="1">
      <c r="B38" s="38"/>
      <c r="C38" s="38"/>
      <c r="D38" s="38"/>
      <c r="E38" s="38"/>
      <c r="F38" s="38"/>
      <c r="G38" s="38"/>
      <c r="H38" s="38"/>
      <c r="I38" s="38"/>
      <c r="J38" s="38"/>
      <c r="K38" s="99" t="s">
        <v>50</v>
      </c>
      <c r="L38" s="182" t="s">
        <v>51</v>
      </c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38"/>
      <c r="BV38" s="140">
        <f>SUM(M38:BT38)</f>
        <v>0</v>
      </c>
    </row>
    <row r="39" spans="2:74" ht="23.1" customHeight="1"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182" t="s">
        <v>52</v>
      </c>
      <c r="M39" s="97">
        <f t="shared" ref="M39:AR39" si="7">M37-M38</f>
        <v>0</v>
      </c>
      <c r="N39" s="97">
        <f t="shared" si="7"/>
        <v>0</v>
      </c>
      <c r="O39" s="97">
        <f t="shared" si="7"/>
        <v>0</v>
      </c>
      <c r="P39" s="97">
        <f t="shared" si="7"/>
        <v>0</v>
      </c>
      <c r="Q39" s="97">
        <f t="shared" si="7"/>
        <v>0</v>
      </c>
      <c r="R39" s="97">
        <f t="shared" si="7"/>
        <v>0</v>
      </c>
      <c r="S39" s="97">
        <f t="shared" si="7"/>
        <v>0</v>
      </c>
      <c r="T39" s="97">
        <f t="shared" si="7"/>
        <v>0</v>
      </c>
      <c r="U39" s="97">
        <f t="shared" si="7"/>
        <v>0</v>
      </c>
      <c r="V39" s="97">
        <f t="shared" si="7"/>
        <v>0</v>
      </c>
      <c r="W39" s="97">
        <f t="shared" si="7"/>
        <v>0</v>
      </c>
      <c r="X39" s="97">
        <f t="shared" si="7"/>
        <v>0</v>
      </c>
      <c r="Y39" s="97">
        <f t="shared" si="7"/>
        <v>0</v>
      </c>
      <c r="Z39" s="97">
        <f t="shared" si="7"/>
        <v>0</v>
      </c>
      <c r="AA39" s="97">
        <f t="shared" si="7"/>
        <v>0</v>
      </c>
      <c r="AB39" s="97">
        <f t="shared" si="7"/>
        <v>0</v>
      </c>
      <c r="AC39" s="97">
        <f t="shared" si="7"/>
        <v>0</v>
      </c>
      <c r="AD39" s="97">
        <f t="shared" si="7"/>
        <v>0</v>
      </c>
      <c r="AE39" s="97">
        <f t="shared" si="7"/>
        <v>0</v>
      </c>
      <c r="AF39" s="97">
        <f t="shared" si="7"/>
        <v>0</v>
      </c>
      <c r="AG39" s="97">
        <f t="shared" si="7"/>
        <v>0</v>
      </c>
      <c r="AH39" s="97">
        <f t="shared" si="7"/>
        <v>0</v>
      </c>
      <c r="AI39" s="97">
        <f t="shared" si="7"/>
        <v>0</v>
      </c>
      <c r="AJ39" s="97">
        <f t="shared" si="7"/>
        <v>0</v>
      </c>
      <c r="AK39" s="97">
        <f t="shared" si="7"/>
        <v>0</v>
      </c>
      <c r="AL39" s="97">
        <f t="shared" si="7"/>
        <v>0</v>
      </c>
      <c r="AM39" s="97">
        <f t="shared" si="7"/>
        <v>0</v>
      </c>
      <c r="AN39" s="97">
        <f t="shared" si="7"/>
        <v>0</v>
      </c>
      <c r="AO39" s="97">
        <f t="shared" si="7"/>
        <v>0</v>
      </c>
      <c r="AP39" s="97">
        <f t="shared" si="7"/>
        <v>0</v>
      </c>
      <c r="AQ39" s="97">
        <f t="shared" si="7"/>
        <v>0</v>
      </c>
      <c r="AR39" s="97">
        <f t="shared" si="7"/>
        <v>0</v>
      </c>
      <c r="AS39" s="97">
        <f t="shared" ref="AS39:BT39" si="8">AS37-AS38</f>
        <v>0</v>
      </c>
      <c r="AT39" s="97">
        <f t="shared" si="8"/>
        <v>0</v>
      </c>
      <c r="AU39" s="97">
        <f t="shared" si="8"/>
        <v>0</v>
      </c>
      <c r="AV39" s="97">
        <f t="shared" si="8"/>
        <v>0</v>
      </c>
      <c r="AW39" s="97">
        <f t="shared" si="8"/>
        <v>0</v>
      </c>
      <c r="AX39" s="97">
        <f t="shared" si="8"/>
        <v>0</v>
      </c>
      <c r="AY39" s="97">
        <f t="shared" si="8"/>
        <v>0</v>
      </c>
      <c r="AZ39" s="97">
        <f t="shared" si="8"/>
        <v>0</v>
      </c>
      <c r="BA39" s="97">
        <f t="shared" si="8"/>
        <v>0</v>
      </c>
      <c r="BB39" s="97">
        <f t="shared" si="8"/>
        <v>0</v>
      </c>
      <c r="BC39" s="97">
        <f t="shared" si="8"/>
        <v>0</v>
      </c>
      <c r="BD39" s="97">
        <f t="shared" si="8"/>
        <v>0</v>
      </c>
      <c r="BE39" s="97">
        <f t="shared" si="8"/>
        <v>0</v>
      </c>
      <c r="BF39" s="97">
        <f t="shared" si="8"/>
        <v>0</v>
      </c>
      <c r="BG39" s="97">
        <f t="shared" si="8"/>
        <v>0</v>
      </c>
      <c r="BH39" s="97">
        <f t="shared" si="8"/>
        <v>0</v>
      </c>
      <c r="BI39" s="97">
        <f t="shared" si="8"/>
        <v>0</v>
      </c>
      <c r="BJ39" s="97">
        <f t="shared" si="8"/>
        <v>0</v>
      </c>
      <c r="BK39" s="97">
        <f t="shared" si="8"/>
        <v>0</v>
      </c>
      <c r="BL39" s="97">
        <f t="shared" si="8"/>
        <v>0</v>
      </c>
      <c r="BM39" s="97">
        <f t="shared" si="8"/>
        <v>0</v>
      </c>
      <c r="BN39" s="97">
        <f t="shared" si="8"/>
        <v>0</v>
      </c>
      <c r="BO39" s="97">
        <f t="shared" si="8"/>
        <v>0</v>
      </c>
      <c r="BP39" s="97">
        <f t="shared" si="8"/>
        <v>0</v>
      </c>
      <c r="BQ39" s="97">
        <f t="shared" si="8"/>
        <v>0</v>
      </c>
      <c r="BR39" s="97">
        <f t="shared" si="8"/>
        <v>0</v>
      </c>
      <c r="BS39" s="97">
        <f t="shared" si="8"/>
        <v>0</v>
      </c>
      <c r="BT39" s="97">
        <f t="shared" si="8"/>
        <v>0</v>
      </c>
      <c r="BU39" s="38"/>
      <c r="BV39" s="140">
        <f>SUM(M39:BT39)</f>
        <v>0</v>
      </c>
    </row>
    <row r="40" spans="2:74" ht="19.5" customHeight="1">
      <c r="C40" s="36" t="s">
        <v>53</v>
      </c>
    </row>
    <row r="41" spans="2:74" ht="381.95" customHeight="1"/>
    <row r="42" spans="2:74" ht="216.95" customHeight="1"/>
  </sheetData>
  <mergeCells count="22">
    <mergeCell ref="BP7:BT7"/>
    <mergeCell ref="AL7:AP7"/>
    <mergeCell ref="AQ7:AU7"/>
    <mergeCell ref="AV7:AZ7"/>
    <mergeCell ref="BA7:BE7"/>
    <mergeCell ref="BF7:BJ7"/>
    <mergeCell ref="BK7:BO7"/>
    <mergeCell ref="AG7:AK7"/>
    <mergeCell ref="K2:K6"/>
    <mergeCell ref="B7:B8"/>
    <mergeCell ref="C7:C8"/>
    <mergeCell ref="D7:D8"/>
    <mergeCell ref="E7:G7"/>
    <mergeCell ref="H7:H8"/>
    <mergeCell ref="I7:I8"/>
    <mergeCell ref="J7:J8"/>
    <mergeCell ref="K7:K8"/>
    <mergeCell ref="L7:L8"/>
    <mergeCell ref="M7:Q7"/>
    <mergeCell ref="R7:V7"/>
    <mergeCell ref="W7:AA7"/>
    <mergeCell ref="AB7:AF7"/>
  </mergeCells>
  <conditionalFormatting sqref="L9:L33">
    <cfRule type="dataBar" priority="1">
      <dataBar>
        <cfvo type="percent" val="0"/>
        <cfvo type="percent" val="100"/>
        <color theme="8" tint="0.59999389629810485"/>
      </dataBar>
    </cfRule>
  </conditionalFormatting>
  <pageMargins left="0.3" right="0.3" top="0.3" bottom="0.3" header="0" footer="0"/>
  <pageSetup scale="32" fitToHeight="0" orientation="landscape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  <pageSetUpPr fitToPage="1"/>
  </sheetPr>
  <dimension ref="B1:N39"/>
  <sheetViews>
    <sheetView showGridLines="0" workbookViewId="0">
      <selection activeCell="I3" sqref="I3"/>
    </sheetView>
  </sheetViews>
  <sheetFormatPr baseColWidth="10" defaultColWidth="11.125" defaultRowHeight="15.75"/>
  <cols>
    <col min="1" max="1" width="3.25" customWidth="1"/>
    <col min="2" max="2" width="9" customWidth="1"/>
    <col min="3" max="3" width="9.25" customWidth="1"/>
    <col min="4" max="4" width="33.5" customWidth="1"/>
    <col min="5" max="5" width="24" customWidth="1"/>
    <col min="6" max="6" width="65.875" customWidth="1"/>
    <col min="7" max="7" width="24" customWidth="1"/>
    <col min="8" max="9" width="13.875" customWidth="1"/>
    <col min="10" max="10" width="39.125" customWidth="1"/>
    <col min="11" max="11" width="3.25" customWidth="1"/>
    <col min="12" max="12" width="13.875" customWidth="1"/>
    <col min="13" max="13" width="3.25" customWidth="1"/>
    <col min="14" max="14" width="13.875" customWidth="1"/>
    <col min="15" max="15" width="3.25" customWidth="1"/>
  </cols>
  <sheetData>
    <row r="1" spans="2:14" ht="35.1" customHeight="1" thickBot="1">
      <c r="B1" s="106" t="s">
        <v>54</v>
      </c>
      <c r="C1" s="37"/>
      <c r="D1" s="37"/>
      <c r="E1" s="36"/>
      <c r="F1" s="37"/>
      <c r="G1" s="37"/>
      <c r="H1" s="37"/>
      <c r="I1" s="37"/>
      <c r="J1" s="37"/>
      <c r="K1" s="37"/>
      <c r="L1" s="34"/>
      <c r="M1" s="38"/>
      <c r="N1" s="38"/>
    </row>
    <row r="2" spans="2:14" ht="36" customHeight="1">
      <c r="B2" s="131" t="s">
        <v>55</v>
      </c>
      <c r="C2" s="132" t="s">
        <v>11</v>
      </c>
      <c r="D2" s="132" t="s">
        <v>56</v>
      </c>
      <c r="E2" s="133" t="s">
        <v>8</v>
      </c>
      <c r="F2" s="134" t="s">
        <v>57</v>
      </c>
      <c r="G2" s="134" t="s">
        <v>9</v>
      </c>
      <c r="H2" s="135" t="s">
        <v>58</v>
      </c>
      <c r="I2" s="132" t="s">
        <v>59</v>
      </c>
      <c r="J2" s="136" t="s">
        <v>60</v>
      </c>
      <c r="K2" s="38"/>
      <c r="L2" s="132" t="s">
        <v>61</v>
      </c>
      <c r="M2" s="38"/>
      <c r="N2" s="132" t="s">
        <v>58</v>
      </c>
    </row>
    <row r="3" spans="2:14" ht="20.100000000000001" customHeight="1">
      <c r="B3" s="122"/>
      <c r="C3" s="126"/>
      <c r="D3" s="126"/>
      <c r="E3" s="124"/>
      <c r="F3" s="101"/>
      <c r="G3" s="101"/>
      <c r="H3" s="107">
        <v>1</v>
      </c>
      <c r="I3" s="109" t="s">
        <v>62</v>
      </c>
      <c r="J3" s="118"/>
      <c r="K3" s="38"/>
      <c r="L3" s="114" t="s">
        <v>62</v>
      </c>
      <c r="M3" s="38"/>
      <c r="N3" s="120">
        <v>1</v>
      </c>
    </row>
    <row r="4" spans="2:14" ht="20.100000000000001" customHeight="1">
      <c r="B4" s="122"/>
      <c r="C4" s="126"/>
      <c r="D4" s="126"/>
      <c r="E4" s="124"/>
      <c r="F4" s="101"/>
      <c r="G4" s="101"/>
      <c r="H4" s="107">
        <v>2</v>
      </c>
      <c r="I4" s="109" t="s">
        <v>62</v>
      </c>
      <c r="J4" s="118"/>
      <c r="K4" s="38"/>
      <c r="L4" s="115" t="s">
        <v>63</v>
      </c>
      <c r="M4" s="38"/>
      <c r="N4" s="120">
        <v>2</v>
      </c>
    </row>
    <row r="5" spans="2:14" ht="20.100000000000001" customHeight="1">
      <c r="B5" s="122"/>
      <c r="C5" s="126"/>
      <c r="D5" s="126"/>
      <c r="E5" s="124"/>
      <c r="F5" s="101"/>
      <c r="G5" s="101"/>
      <c r="H5" s="107">
        <v>8</v>
      </c>
      <c r="I5" s="109" t="s">
        <v>62</v>
      </c>
      <c r="J5" s="118"/>
      <c r="K5" s="38"/>
      <c r="L5" s="116" t="s">
        <v>64</v>
      </c>
      <c r="M5" s="38"/>
      <c r="N5" s="120">
        <v>4</v>
      </c>
    </row>
    <row r="6" spans="2:14" ht="20.100000000000001" customHeight="1" thickBot="1">
      <c r="B6" s="122"/>
      <c r="C6" s="126"/>
      <c r="D6" s="126"/>
      <c r="E6" s="124"/>
      <c r="F6" s="101"/>
      <c r="G6" s="101"/>
      <c r="H6" s="107">
        <v>8</v>
      </c>
      <c r="I6" s="110" t="s">
        <v>63</v>
      </c>
      <c r="J6" s="118"/>
      <c r="K6" s="38"/>
      <c r="L6" s="117" t="s">
        <v>65</v>
      </c>
      <c r="M6" s="38"/>
      <c r="N6" s="120">
        <v>8</v>
      </c>
    </row>
    <row r="7" spans="2:14" ht="20.100000000000001" customHeight="1">
      <c r="B7" s="122"/>
      <c r="C7" s="126"/>
      <c r="D7" s="126"/>
      <c r="E7" s="124"/>
      <c r="F7" s="101"/>
      <c r="G7" s="101"/>
      <c r="H7" s="107">
        <v>4</v>
      </c>
      <c r="I7" s="111" t="s">
        <v>64</v>
      </c>
      <c r="J7" s="118"/>
      <c r="K7" s="38"/>
      <c r="L7" s="34"/>
      <c r="M7" s="38"/>
      <c r="N7" s="120">
        <v>16</v>
      </c>
    </row>
    <row r="8" spans="2:14" ht="20.100000000000001" customHeight="1">
      <c r="B8" s="122"/>
      <c r="C8" s="126"/>
      <c r="D8" s="126"/>
      <c r="E8" s="124"/>
      <c r="F8" s="101"/>
      <c r="G8" s="101"/>
      <c r="H8" s="107">
        <v>80</v>
      </c>
      <c r="I8" s="111" t="s">
        <v>64</v>
      </c>
      <c r="J8" s="118"/>
      <c r="K8" s="38"/>
      <c r="L8" s="34"/>
      <c r="M8" s="38"/>
      <c r="N8" s="120">
        <v>24</v>
      </c>
    </row>
    <row r="9" spans="2:14" ht="20.100000000000001" customHeight="1">
      <c r="B9" s="122"/>
      <c r="C9" s="126"/>
      <c r="D9" s="126"/>
      <c r="E9" s="124"/>
      <c r="F9" s="101"/>
      <c r="G9" s="101"/>
      <c r="H9" s="107">
        <v>16</v>
      </c>
      <c r="I9" s="112" t="s">
        <v>65</v>
      </c>
      <c r="J9" s="118"/>
      <c r="K9" s="38"/>
      <c r="L9" s="34"/>
      <c r="M9" s="38"/>
      <c r="N9" s="120">
        <v>40</v>
      </c>
    </row>
    <row r="10" spans="2:14" ht="20.100000000000001" customHeight="1" thickBot="1">
      <c r="B10" s="122"/>
      <c r="C10" s="126"/>
      <c r="D10" s="126"/>
      <c r="E10" s="124"/>
      <c r="F10" s="101"/>
      <c r="G10" s="101"/>
      <c r="H10" s="107">
        <v>8</v>
      </c>
      <c r="I10" s="112" t="s">
        <v>65</v>
      </c>
      <c r="J10" s="118"/>
      <c r="K10" s="38"/>
      <c r="L10" s="34"/>
      <c r="M10" s="38"/>
      <c r="N10" s="121">
        <v>80</v>
      </c>
    </row>
    <row r="11" spans="2:14" ht="20.100000000000001" customHeight="1">
      <c r="B11" s="122"/>
      <c r="C11" s="126"/>
      <c r="D11" s="126"/>
      <c r="E11" s="124"/>
      <c r="F11" s="101"/>
      <c r="G11" s="101"/>
      <c r="H11" s="107">
        <v>4</v>
      </c>
      <c r="I11" s="112"/>
      <c r="J11" s="118"/>
      <c r="K11" s="38"/>
      <c r="L11" s="34"/>
      <c r="M11" s="38"/>
      <c r="N11" s="38"/>
    </row>
    <row r="12" spans="2:14" ht="20.100000000000001" customHeight="1">
      <c r="B12" s="122"/>
      <c r="C12" s="126"/>
      <c r="D12" s="126"/>
      <c r="E12" s="124"/>
      <c r="F12" s="101"/>
      <c r="G12" s="101"/>
      <c r="H12" s="107">
        <v>2</v>
      </c>
      <c r="I12" s="112"/>
      <c r="J12" s="118"/>
      <c r="K12" s="38"/>
      <c r="L12" s="34"/>
      <c r="M12" s="38"/>
      <c r="N12" s="38"/>
    </row>
    <row r="13" spans="2:14" ht="20.100000000000001" customHeight="1">
      <c r="B13" s="122"/>
      <c r="C13" s="126"/>
      <c r="D13" s="126"/>
      <c r="E13" s="124"/>
      <c r="F13" s="101"/>
      <c r="G13" s="101"/>
      <c r="H13" s="107">
        <v>24</v>
      </c>
      <c r="I13" s="112"/>
      <c r="J13" s="118"/>
      <c r="K13" s="38"/>
      <c r="L13" s="34"/>
      <c r="M13" s="38"/>
      <c r="N13" s="38"/>
    </row>
    <row r="14" spans="2:14" ht="20.100000000000001" customHeight="1">
      <c r="B14" s="122"/>
      <c r="C14" s="126"/>
      <c r="D14" s="126"/>
      <c r="E14" s="124"/>
      <c r="F14" s="101"/>
      <c r="G14" s="101"/>
      <c r="H14" s="107">
        <v>40</v>
      </c>
      <c r="I14" s="112"/>
      <c r="J14" s="118"/>
      <c r="K14" s="38"/>
      <c r="L14" s="34"/>
      <c r="M14" s="38"/>
      <c r="N14" s="38"/>
    </row>
    <row r="15" spans="2:14" ht="20.100000000000001" customHeight="1">
      <c r="B15" s="122"/>
      <c r="C15" s="126"/>
      <c r="D15" s="126"/>
      <c r="E15" s="124"/>
      <c r="F15" s="101"/>
      <c r="G15" s="101"/>
      <c r="H15" s="107"/>
      <c r="I15" s="112"/>
      <c r="J15" s="118"/>
      <c r="K15" s="38"/>
      <c r="L15" s="34"/>
      <c r="M15" s="38"/>
      <c r="N15" s="38"/>
    </row>
    <row r="16" spans="2:14" ht="20.100000000000001" customHeight="1">
      <c r="B16" s="122"/>
      <c r="C16" s="126"/>
      <c r="D16" s="126"/>
      <c r="E16" s="124"/>
      <c r="F16" s="101"/>
      <c r="G16" s="101"/>
      <c r="H16" s="107"/>
      <c r="I16" s="112"/>
      <c r="J16" s="118"/>
      <c r="K16" s="38"/>
      <c r="L16" s="34"/>
      <c r="M16" s="38"/>
      <c r="N16" s="38"/>
    </row>
    <row r="17" spans="2:14" ht="20.100000000000001" customHeight="1">
      <c r="B17" s="122"/>
      <c r="C17" s="126"/>
      <c r="D17" s="126"/>
      <c r="E17" s="124"/>
      <c r="F17" s="101"/>
      <c r="G17" s="101"/>
      <c r="H17" s="107"/>
      <c r="I17" s="112"/>
      <c r="J17" s="118"/>
      <c r="K17" s="38"/>
      <c r="L17" s="34"/>
      <c r="M17" s="38"/>
      <c r="N17" s="38"/>
    </row>
    <row r="18" spans="2:14" ht="20.100000000000001" customHeight="1">
      <c r="B18" s="122"/>
      <c r="C18" s="126"/>
      <c r="D18" s="126"/>
      <c r="E18" s="124"/>
      <c r="F18" s="101"/>
      <c r="G18" s="101"/>
      <c r="H18" s="107"/>
      <c r="I18" s="112"/>
      <c r="J18" s="118"/>
      <c r="K18" s="38"/>
      <c r="L18" s="34"/>
      <c r="M18" s="38"/>
      <c r="N18" s="38"/>
    </row>
    <row r="19" spans="2:14" ht="20.100000000000001" customHeight="1">
      <c r="B19" s="122"/>
      <c r="C19" s="126"/>
      <c r="D19" s="126"/>
      <c r="E19" s="124"/>
      <c r="F19" s="101"/>
      <c r="G19" s="101"/>
      <c r="H19" s="107"/>
      <c r="I19" s="112"/>
      <c r="J19" s="118"/>
      <c r="K19" s="38"/>
      <c r="L19" s="34"/>
      <c r="M19" s="38"/>
      <c r="N19" s="38"/>
    </row>
    <row r="20" spans="2:14" ht="20.100000000000001" customHeight="1">
      <c r="B20" s="122"/>
      <c r="C20" s="126"/>
      <c r="D20" s="126"/>
      <c r="E20" s="124"/>
      <c r="F20" s="101"/>
      <c r="G20" s="101"/>
      <c r="H20" s="107"/>
      <c r="I20" s="112"/>
      <c r="J20" s="118"/>
      <c r="K20" s="38"/>
      <c r="L20" s="34"/>
      <c r="M20" s="38"/>
      <c r="N20" s="38"/>
    </row>
    <row r="21" spans="2:14" ht="20.100000000000001" customHeight="1">
      <c r="B21" s="122"/>
      <c r="C21" s="126"/>
      <c r="D21" s="126"/>
      <c r="E21" s="124"/>
      <c r="F21" s="101"/>
      <c r="G21" s="101"/>
      <c r="H21" s="107"/>
      <c r="I21" s="112"/>
      <c r="J21" s="118"/>
      <c r="K21" s="38"/>
      <c r="L21" s="34"/>
      <c r="M21" s="38"/>
      <c r="N21" s="38"/>
    </row>
    <row r="22" spans="2:14" ht="20.100000000000001" customHeight="1">
      <c r="B22" s="122"/>
      <c r="C22" s="126"/>
      <c r="D22" s="126"/>
      <c r="E22" s="124"/>
      <c r="F22" s="101"/>
      <c r="G22" s="101"/>
      <c r="H22" s="107"/>
      <c r="I22" s="112"/>
      <c r="J22" s="118"/>
      <c r="K22" s="38"/>
      <c r="L22" s="34"/>
      <c r="M22" s="38"/>
      <c r="N22" s="38"/>
    </row>
    <row r="23" spans="2:14" ht="20.100000000000001" customHeight="1">
      <c r="B23" s="122"/>
      <c r="C23" s="126"/>
      <c r="D23" s="126"/>
      <c r="E23" s="124"/>
      <c r="F23" s="101"/>
      <c r="G23" s="101"/>
      <c r="H23" s="107"/>
      <c r="I23" s="112"/>
      <c r="J23" s="118"/>
      <c r="K23" s="38"/>
      <c r="L23" s="34"/>
      <c r="M23" s="38"/>
      <c r="N23" s="38"/>
    </row>
    <row r="24" spans="2:14" ht="20.100000000000001" customHeight="1">
      <c r="B24" s="122"/>
      <c r="C24" s="126"/>
      <c r="D24" s="126"/>
      <c r="E24" s="124"/>
      <c r="F24" s="101"/>
      <c r="G24" s="101"/>
      <c r="H24" s="107"/>
      <c r="I24" s="112"/>
      <c r="J24" s="118"/>
      <c r="K24" s="38"/>
      <c r="M24" s="38"/>
      <c r="N24" s="38"/>
    </row>
    <row r="25" spans="2:14" ht="20.100000000000001" customHeight="1">
      <c r="B25" s="122"/>
      <c r="C25" s="126"/>
      <c r="D25" s="126"/>
      <c r="E25" s="124"/>
      <c r="F25" s="101"/>
      <c r="G25" s="101"/>
      <c r="H25" s="107"/>
      <c r="I25" s="112"/>
      <c r="J25" s="118"/>
      <c r="K25" s="38"/>
      <c r="M25" s="38"/>
      <c r="N25" s="38"/>
    </row>
    <row r="26" spans="2:14" ht="20.100000000000001" customHeight="1">
      <c r="B26" s="122"/>
      <c r="C26" s="126"/>
      <c r="D26" s="126"/>
      <c r="E26" s="124"/>
      <c r="F26" s="101"/>
      <c r="G26" s="101"/>
      <c r="H26" s="107"/>
      <c r="I26" s="112"/>
      <c r="J26" s="118"/>
      <c r="K26" s="38"/>
      <c r="M26" s="38"/>
      <c r="N26" s="38"/>
    </row>
    <row r="27" spans="2:14" ht="20.100000000000001" customHeight="1">
      <c r="B27" s="122"/>
      <c r="C27" s="126"/>
      <c r="D27" s="126"/>
      <c r="E27" s="124"/>
      <c r="F27" s="101"/>
      <c r="G27" s="101"/>
      <c r="H27" s="107"/>
      <c r="I27" s="112"/>
      <c r="J27" s="118"/>
      <c r="K27" s="38"/>
      <c r="M27" s="38"/>
      <c r="N27" s="38"/>
    </row>
    <row r="28" spans="2:14" ht="20.100000000000001" customHeight="1">
      <c r="B28" s="122"/>
      <c r="C28" s="126"/>
      <c r="D28" s="126"/>
      <c r="E28" s="124"/>
      <c r="F28" s="101"/>
      <c r="G28" s="101"/>
      <c r="H28" s="107"/>
      <c r="I28" s="112"/>
      <c r="J28" s="118"/>
      <c r="K28" s="38"/>
      <c r="M28" s="38"/>
      <c r="N28" s="38"/>
    </row>
    <row r="29" spans="2:14" ht="20.100000000000001" customHeight="1">
      <c r="B29" s="122"/>
      <c r="C29" s="126"/>
      <c r="D29" s="126"/>
      <c r="E29" s="124"/>
      <c r="F29" s="101"/>
      <c r="G29" s="101"/>
      <c r="H29" s="107"/>
      <c r="I29" s="112"/>
      <c r="J29" s="118"/>
      <c r="K29" s="38"/>
      <c r="M29" s="38"/>
      <c r="N29" s="38"/>
    </row>
    <row r="30" spans="2:14" ht="20.100000000000001" customHeight="1">
      <c r="B30" s="122"/>
      <c r="C30" s="126"/>
      <c r="D30" s="126"/>
      <c r="E30" s="124"/>
      <c r="F30" s="101"/>
      <c r="G30" s="101"/>
      <c r="H30" s="107"/>
      <c r="I30" s="112"/>
      <c r="J30" s="118"/>
      <c r="K30" s="38"/>
      <c r="M30" s="38"/>
      <c r="N30" s="38"/>
    </row>
    <row r="31" spans="2:14" ht="20.100000000000001" customHeight="1">
      <c r="B31" s="122"/>
      <c r="C31" s="126"/>
      <c r="D31" s="126"/>
      <c r="E31" s="124"/>
      <c r="F31" s="101"/>
      <c r="G31" s="101"/>
      <c r="H31" s="107"/>
      <c r="I31" s="112"/>
      <c r="J31" s="118"/>
      <c r="K31" s="38"/>
      <c r="M31" s="38"/>
      <c r="N31" s="38"/>
    </row>
    <row r="32" spans="2:14" ht="20.100000000000001" customHeight="1">
      <c r="B32" s="122"/>
      <c r="C32" s="126"/>
      <c r="D32" s="126"/>
      <c r="E32" s="124"/>
      <c r="F32" s="101"/>
      <c r="G32" s="101"/>
      <c r="H32" s="107"/>
      <c r="I32" s="112"/>
      <c r="J32" s="118"/>
      <c r="K32" s="38"/>
      <c r="M32" s="38"/>
      <c r="N32" s="38"/>
    </row>
    <row r="33" spans="2:14" ht="20.100000000000001" customHeight="1">
      <c r="B33" s="122"/>
      <c r="C33" s="126"/>
      <c r="D33" s="126"/>
      <c r="E33" s="124"/>
      <c r="F33" s="101"/>
      <c r="G33" s="101"/>
      <c r="H33" s="107"/>
      <c r="I33" s="112"/>
      <c r="J33" s="118"/>
      <c r="K33" s="38"/>
      <c r="M33" s="38"/>
      <c r="N33" s="38"/>
    </row>
    <row r="34" spans="2:14" ht="20.100000000000001" customHeight="1">
      <c r="B34" s="122"/>
      <c r="C34" s="126"/>
      <c r="D34" s="126"/>
      <c r="E34" s="124"/>
      <c r="F34" s="101"/>
      <c r="G34" s="101"/>
      <c r="H34" s="107"/>
      <c r="I34" s="112"/>
      <c r="J34" s="118"/>
      <c r="K34" s="38"/>
      <c r="M34" s="38"/>
      <c r="N34" s="38"/>
    </row>
    <row r="35" spans="2:14" ht="20.100000000000001" customHeight="1">
      <c r="B35" s="122"/>
      <c r="C35" s="126"/>
      <c r="D35" s="126"/>
      <c r="E35" s="124"/>
      <c r="F35" s="101"/>
      <c r="G35" s="101"/>
      <c r="H35" s="107"/>
      <c r="I35" s="112"/>
      <c r="J35" s="118"/>
      <c r="K35" s="38"/>
      <c r="M35" s="38"/>
      <c r="N35" s="38"/>
    </row>
    <row r="36" spans="2:14" ht="20.100000000000001" customHeight="1">
      <c r="B36" s="122"/>
      <c r="C36" s="126"/>
      <c r="D36" s="126"/>
      <c r="E36" s="124"/>
      <c r="F36" s="101"/>
      <c r="G36" s="101"/>
      <c r="H36" s="107"/>
      <c r="I36" s="112"/>
      <c r="J36" s="118"/>
      <c r="K36" s="38"/>
      <c r="M36" s="38"/>
      <c r="N36" s="38"/>
    </row>
    <row r="37" spans="2:14" ht="20.100000000000001" customHeight="1">
      <c r="B37" s="122"/>
      <c r="C37" s="126"/>
      <c r="D37" s="126"/>
      <c r="E37" s="124"/>
      <c r="F37" s="101"/>
      <c r="G37" s="101"/>
      <c r="H37" s="107"/>
      <c r="I37" s="112"/>
      <c r="J37" s="118"/>
      <c r="K37" s="38"/>
      <c r="M37" s="38"/>
      <c r="N37" s="38"/>
    </row>
    <row r="38" spans="2:14" ht="20.100000000000001" customHeight="1">
      <c r="B38" s="122"/>
      <c r="C38" s="126"/>
      <c r="D38" s="126"/>
      <c r="E38" s="124"/>
      <c r="F38" s="101"/>
      <c r="G38" s="101"/>
      <c r="H38" s="107"/>
      <c r="I38" s="112"/>
      <c r="J38" s="118"/>
      <c r="K38" s="38"/>
      <c r="M38" s="38"/>
      <c r="N38" s="38"/>
    </row>
    <row r="39" spans="2:14" ht="20.100000000000001" customHeight="1" thickBot="1">
      <c r="B39" s="123"/>
      <c r="C39" s="127"/>
      <c r="D39" s="127"/>
      <c r="E39" s="125"/>
      <c r="F39" s="103"/>
      <c r="G39" s="103"/>
      <c r="H39" s="108"/>
      <c r="I39" s="113"/>
      <c r="J39" s="119"/>
      <c r="K39" s="38"/>
      <c r="M39" s="38"/>
      <c r="N39" s="38"/>
    </row>
  </sheetData>
  <conditionalFormatting sqref="H3:H39">
    <cfRule type="colorScale" priority="5">
      <colorScale>
        <cfvo type="min"/>
        <cfvo type="max"/>
        <color theme="0"/>
        <color theme="8" tint="0.39997558519241921"/>
      </colorScale>
    </cfRule>
  </conditionalFormatting>
  <conditionalFormatting sqref="I3:I39">
    <cfRule type="containsText" dxfId="3" priority="1" operator="containsText" text="Not Started">
      <formula>NOT(ISERROR(SEARCH("Not Started",I3)))</formula>
    </cfRule>
    <cfRule type="containsText" dxfId="2" priority="2" operator="containsText" text="In Progress">
      <formula>NOT(ISERROR(SEARCH("In Progress",I3)))</formula>
    </cfRule>
    <cfRule type="containsText" dxfId="1" priority="3" operator="containsText" text="Overdue">
      <formula>NOT(ISERROR(SEARCH("Overdue",I3)))</formula>
    </cfRule>
    <cfRule type="containsText" dxfId="0" priority="4" operator="containsText" text="Complete">
      <formula>NOT(ISERROR(SEARCH("Complete",I3)))</formula>
    </cfRule>
  </conditionalFormatting>
  <conditionalFormatting sqref="N3:N10">
    <cfRule type="colorScale" priority="7">
      <colorScale>
        <cfvo type="min"/>
        <cfvo type="max"/>
        <color theme="0"/>
        <color theme="8" tint="0.39997558519241921"/>
      </colorScale>
    </cfRule>
  </conditionalFormatting>
  <dataValidations count="2">
    <dataValidation type="list" showInputMessage="1" showErrorMessage="1" sqref="H3:H39" xr:uid="{00000000-0002-0000-0200-000000000000}">
      <formula1>$N$3:$N$10</formula1>
    </dataValidation>
    <dataValidation type="list" showInputMessage="1" showErrorMessage="1" sqref="I3:I39" xr:uid="{00000000-0002-0000-0200-000001000000}">
      <formula1>$L$3:$L$6</formula1>
    </dataValidation>
  </dataValidations>
  <pageMargins left="0.3" right="0.3" top="0.3" bottom="0.3" header="0" footer="0"/>
  <pageSetup scale="53" fitToHeight="0" orientation="landscape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9998168889431442"/>
    <pageSetUpPr fitToPage="1"/>
  </sheetPr>
  <dimension ref="B1:F39"/>
  <sheetViews>
    <sheetView showGridLines="0" workbookViewId="0">
      <selection activeCell="B3" sqref="B3"/>
    </sheetView>
  </sheetViews>
  <sheetFormatPr baseColWidth="10" defaultColWidth="11.125" defaultRowHeight="15.75"/>
  <cols>
    <col min="1" max="1" width="3.25" customWidth="1"/>
    <col min="2" max="2" width="24" customWidth="1"/>
    <col min="3" max="3" width="65.875" customWidth="1"/>
    <col min="4" max="4" width="24" customWidth="1"/>
    <col min="5" max="5" width="13.875" customWidth="1"/>
    <col min="6" max="6" width="3.25" customWidth="1"/>
  </cols>
  <sheetData>
    <row r="1" spans="2:6" ht="35.1" customHeight="1" thickBot="1">
      <c r="B1" s="106" t="s">
        <v>66</v>
      </c>
      <c r="C1" s="37"/>
      <c r="D1" s="37"/>
      <c r="E1" s="37"/>
      <c r="F1" s="15"/>
    </row>
    <row r="2" spans="2:6" ht="20.100000000000001" customHeight="1">
      <c r="B2" s="128" t="s">
        <v>8</v>
      </c>
      <c r="C2" s="128" t="s">
        <v>57</v>
      </c>
      <c r="D2" s="129" t="s">
        <v>67</v>
      </c>
      <c r="E2" s="130" t="s">
        <v>68</v>
      </c>
    </row>
    <row r="3" spans="2:6" ht="20.100000000000001" customHeight="1">
      <c r="B3" s="100"/>
      <c r="C3" s="100"/>
      <c r="D3" s="101"/>
      <c r="E3" s="104"/>
    </row>
    <row r="4" spans="2:6" ht="20.100000000000001" customHeight="1">
      <c r="B4" s="100"/>
      <c r="C4" s="100"/>
      <c r="D4" s="101"/>
      <c r="E4" s="104"/>
    </row>
    <row r="5" spans="2:6" ht="20.100000000000001" customHeight="1">
      <c r="B5" s="100"/>
      <c r="C5" s="100"/>
      <c r="D5" s="101"/>
      <c r="E5" s="104"/>
    </row>
    <row r="6" spans="2:6" ht="20.100000000000001" customHeight="1">
      <c r="B6" s="100"/>
      <c r="C6" s="100"/>
      <c r="D6" s="101"/>
      <c r="E6" s="104"/>
    </row>
    <row r="7" spans="2:6" ht="20.100000000000001" customHeight="1">
      <c r="B7" s="100"/>
      <c r="C7" s="100"/>
      <c r="D7" s="101"/>
      <c r="E7" s="104"/>
    </row>
    <row r="8" spans="2:6" ht="20.100000000000001" customHeight="1">
      <c r="B8" s="100"/>
      <c r="C8" s="100"/>
      <c r="D8" s="101"/>
      <c r="E8" s="104"/>
    </row>
    <row r="9" spans="2:6" ht="20.100000000000001" customHeight="1">
      <c r="B9" s="100"/>
      <c r="C9" s="100"/>
      <c r="D9" s="101"/>
      <c r="E9" s="104"/>
    </row>
    <row r="10" spans="2:6" ht="20.100000000000001" customHeight="1">
      <c r="B10" s="100"/>
      <c r="C10" s="100"/>
      <c r="D10" s="101"/>
      <c r="E10" s="104"/>
    </row>
    <row r="11" spans="2:6" ht="20.100000000000001" customHeight="1">
      <c r="B11" s="100"/>
      <c r="C11" s="100"/>
      <c r="D11" s="101"/>
      <c r="E11" s="104"/>
    </row>
    <row r="12" spans="2:6" ht="20.100000000000001" customHeight="1">
      <c r="B12" s="100"/>
      <c r="C12" s="100"/>
      <c r="D12" s="101"/>
      <c r="E12" s="104"/>
    </row>
    <row r="13" spans="2:6" ht="20.100000000000001" customHeight="1">
      <c r="B13" s="100"/>
      <c r="C13" s="100"/>
      <c r="D13" s="101"/>
      <c r="E13" s="104"/>
    </row>
    <row r="14" spans="2:6" ht="20.100000000000001" customHeight="1">
      <c r="B14" s="100"/>
      <c r="C14" s="100"/>
      <c r="D14" s="101"/>
      <c r="E14" s="104"/>
    </row>
    <row r="15" spans="2:6" ht="20.100000000000001" customHeight="1">
      <c r="B15" s="100"/>
      <c r="C15" s="100"/>
      <c r="D15" s="101"/>
      <c r="E15" s="104"/>
    </row>
    <row r="16" spans="2:6" ht="20.100000000000001" customHeight="1">
      <c r="B16" s="100"/>
      <c r="C16" s="100"/>
      <c r="D16" s="101"/>
      <c r="E16" s="104"/>
    </row>
    <row r="17" spans="2:5" ht="20.100000000000001" customHeight="1">
      <c r="B17" s="100"/>
      <c r="C17" s="100"/>
      <c r="D17" s="101"/>
      <c r="E17" s="104"/>
    </row>
    <row r="18" spans="2:5" ht="20.100000000000001" customHeight="1">
      <c r="B18" s="100"/>
      <c r="C18" s="100"/>
      <c r="D18" s="101"/>
      <c r="E18" s="104"/>
    </row>
    <row r="19" spans="2:5" ht="20.100000000000001" customHeight="1">
      <c r="B19" s="100"/>
      <c r="C19" s="100"/>
      <c r="D19" s="101"/>
      <c r="E19" s="104"/>
    </row>
    <row r="20" spans="2:5" ht="20.100000000000001" customHeight="1">
      <c r="B20" s="100"/>
      <c r="C20" s="100"/>
      <c r="D20" s="101"/>
      <c r="E20" s="104"/>
    </row>
    <row r="21" spans="2:5" ht="20.100000000000001" customHeight="1">
      <c r="B21" s="100"/>
      <c r="C21" s="100"/>
      <c r="D21" s="101"/>
      <c r="E21" s="104"/>
    </row>
    <row r="22" spans="2:5" ht="20.100000000000001" customHeight="1">
      <c r="B22" s="100"/>
      <c r="C22" s="100"/>
      <c r="D22" s="101"/>
      <c r="E22" s="104"/>
    </row>
    <row r="23" spans="2:5" ht="20.100000000000001" customHeight="1">
      <c r="B23" s="100"/>
      <c r="C23" s="100"/>
      <c r="D23" s="101"/>
      <c r="E23" s="104"/>
    </row>
    <row r="24" spans="2:5" ht="20.100000000000001" customHeight="1">
      <c r="B24" s="100"/>
      <c r="C24" s="100"/>
      <c r="D24" s="101"/>
      <c r="E24" s="104"/>
    </row>
    <row r="25" spans="2:5" ht="20.100000000000001" customHeight="1">
      <c r="B25" s="100"/>
      <c r="C25" s="100"/>
      <c r="D25" s="101"/>
      <c r="E25" s="104"/>
    </row>
    <row r="26" spans="2:5" ht="20.100000000000001" customHeight="1">
      <c r="B26" s="100"/>
      <c r="C26" s="100"/>
      <c r="D26" s="101"/>
      <c r="E26" s="104"/>
    </row>
    <row r="27" spans="2:5" ht="20.100000000000001" customHeight="1">
      <c r="B27" s="100"/>
      <c r="C27" s="100"/>
      <c r="D27" s="101"/>
      <c r="E27" s="104"/>
    </row>
    <row r="28" spans="2:5" ht="20.100000000000001" customHeight="1">
      <c r="B28" s="100"/>
      <c r="C28" s="100"/>
      <c r="D28" s="101"/>
      <c r="E28" s="104"/>
    </row>
    <row r="29" spans="2:5" ht="20.100000000000001" customHeight="1">
      <c r="B29" s="100"/>
      <c r="C29" s="100"/>
      <c r="D29" s="101"/>
      <c r="E29" s="104"/>
    </row>
    <row r="30" spans="2:5" ht="20.100000000000001" customHeight="1">
      <c r="B30" s="100"/>
      <c r="C30" s="100"/>
      <c r="D30" s="101"/>
      <c r="E30" s="104"/>
    </row>
    <row r="31" spans="2:5" ht="20.100000000000001" customHeight="1">
      <c r="B31" s="100"/>
      <c r="C31" s="100"/>
      <c r="D31" s="101"/>
      <c r="E31" s="104"/>
    </row>
    <row r="32" spans="2:5" ht="20.100000000000001" customHeight="1">
      <c r="B32" s="100"/>
      <c r="C32" s="100"/>
      <c r="D32" s="101"/>
      <c r="E32" s="104"/>
    </row>
    <row r="33" spans="2:5" ht="20.100000000000001" customHeight="1">
      <c r="B33" s="100"/>
      <c r="C33" s="100"/>
      <c r="D33" s="101"/>
      <c r="E33" s="104"/>
    </row>
    <row r="34" spans="2:5" ht="20.100000000000001" customHeight="1">
      <c r="B34" s="100"/>
      <c r="C34" s="100"/>
      <c r="D34" s="101"/>
      <c r="E34" s="104"/>
    </row>
    <row r="35" spans="2:5" ht="20.100000000000001" customHeight="1">
      <c r="B35" s="100"/>
      <c r="C35" s="100"/>
      <c r="D35" s="101"/>
      <c r="E35" s="104"/>
    </row>
    <row r="36" spans="2:5" ht="20.100000000000001" customHeight="1">
      <c r="B36" s="100"/>
      <c r="C36" s="100"/>
      <c r="D36" s="101"/>
      <c r="E36" s="104"/>
    </row>
    <row r="37" spans="2:5" ht="20.100000000000001" customHeight="1">
      <c r="B37" s="100"/>
      <c r="C37" s="100"/>
      <c r="D37" s="101"/>
      <c r="E37" s="104"/>
    </row>
    <row r="38" spans="2:5" ht="20.100000000000001" customHeight="1">
      <c r="B38" s="100"/>
      <c r="C38" s="100"/>
      <c r="D38" s="101"/>
      <c r="E38" s="104"/>
    </row>
    <row r="39" spans="2:5" ht="20.100000000000001" customHeight="1" thickBot="1">
      <c r="B39" s="102"/>
      <c r="C39" s="102"/>
      <c r="D39" s="103"/>
      <c r="E39" s="105"/>
    </row>
  </sheetData>
  <pageMargins left="0.3" right="0.3" top="0.3" bottom="0.3" header="0" footer="0"/>
  <pageSetup scale="97" fitToHeight="0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8</vt:i4>
      </vt:variant>
    </vt:vector>
  </HeadingPairs>
  <TitlesOfParts>
    <vt:vector size="17" baseType="lpstr">
      <vt:lpstr>Sprint 1</vt:lpstr>
      <vt:lpstr>Sprint 2</vt:lpstr>
      <vt:lpstr>Sprint 3</vt:lpstr>
      <vt:lpstr>Sprint 4</vt:lpstr>
      <vt:lpstr>Sprint 5</vt:lpstr>
      <vt:lpstr>Post-It</vt:lpstr>
      <vt:lpstr>a de Gantt en blanco y burndown</vt:lpstr>
      <vt:lpstr>Backlog de lanzamientos</vt:lpstr>
      <vt:lpstr>Historias de usuario o tareas</vt:lpstr>
      <vt:lpstr>'a de Gantt en blanco y burndown'!Área_de_impresión</vt:lpstr>
      <vt:lpstr>'Backlog de lanzamientos'!Área_de_impresión</vt:lpstr>
      <vt:lpstr>'Historias de usuario o tareas'!Área_de_impresión</vt:lpstr>
      <vt:lpstr>'Sprint 1'!Área_de_impresión</vt:lpstr>
      <vt:lpstr>'Sprint 2'!Área_de_impresión</vt:lpstr>
      <vt:lpstr>'Sprint 3'!Área_de_impresión</vt:lpstr>
      <vt:lpstr>'Sprint 4'!Área_de_impresión</vt:lpstr>
      <vt:lpstr>'Sprint 5'!Área_de_impresión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ACER</cp:lastModifiedBy>
  <dcterms:created xsi:type="dcterms:W3CDTF">2016-03-21T16:06:55Z</dcterms:created>
  <dcterms:modified xsi:type="dcterms:W3CDTF">2025-10-17T05:39:53Z</dcterms:modified>
</cp:coreProperties>
</file>