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840" tabRatio="500" firstSheet="0" activeTab="5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  <sheet xmlns:r="http://schemas.openxmlformats.org/officeDocument/2006/relationships" name="Sprint 4" sheetId="4" state="visible" r:id="rId4"/>
    <sheet xmlns:r="http://schemas.openxmlformats.org/officeDocument/2006/relationships" name="Sprint 5" sheetId="5" state="visible" r:id="rId5"/>
    <sheet xmlns:r="http://schemas.openxmlformats.org/officeDocument/2006/relationships" name="RUTA CRITICA" sheetId="6" state="visible" r:id="rId6"/>
    <sheet xmlns:r="http://schemas.openxmlformats.org/officeDocument/2006/relationships" name="Post-It" sheetId="7" state="visible" r:id="rId7"/>
    <sheet xmlns:r="http://schemas.openxmlformats.org/officeDocument/2006/relationships" name="a de Gantt en blanco y burndown" sheetId="8" state="visible" r:id="rId8"/>
    <sheet xmlns:r="http://schemas.openxmlformats.org/officeDocument/2006/relationships" name="Backlog de lanzamientos" sheetId="9" state="visible" r:id="rId9"/>
    <sheet xmlns:r="http://schemas.openxmlformats.org/officeDocument/2006/relationships" name="Historias de usuario o tareas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Interval">'[1]Office Work Schedule'!#REF!</definedName>
    <definedName name="ScheduleStart">'[1]Office Work Schedule'!#REF!</definedName>
    <definedName name="Type">'[2]Maintenance Work Order'!#REF!</definedName>
    <definedName name="_xlnm.Print_Area" localSheetId="0">'Sprint 1'!$B$1:$BV$48</definedName>
    <definedName name="_xlnm.Print_Area" localSheetId="1">'Sprint 2'!$B$1:$BV$48</definedName>
    <definedName name="_xlnm.Print_Area" localSheetId="2">'Sprint 3'!$B$1:$BV$42</definedName>
    <definedName name="_xlnm.Print_Area" localSheetId="3">'Sprint 4'!$B$1:$BV$50</definedName>
    <definedName name="_xlnm.Print_Area" localSheetId="4">'Sprint 5'!$B$1:$BV$34</definedName>
    <definedName name="_xlnm.Print_Area" localSheetId="7">'a de Gantt en blanco y burndown'!$B$1:$BV$42</definedName>
    <definedName name="_xlnm.Print_Area" localSheetId="8">'Backlog de lanzamientos'!$B$1:$J$39</definedName>
    <definedName name="_xlnm.Print_Area" localSheetId="9">'Historias de usuario o tareas'!$B$1:$E$39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mm/dd/yy"/>
    <numFmt numFmtId="166" formatCode="0.00000"/>
    <numFmt numFmtId="167" formatCode="yyyy\-mm\-dd"/>
  </numFmts>
  <fonts count="42">
    <font>
      <name val="Corbel"/>
      <family val="2"/>
      <color theme="1"/>
      <sz val="12"/>
      <scheme val="minor"/>
    </font>
    <font>
      <name val="Corbel"/>
      <family val="2"/>
      <color theme="1"/>
      <sz val="11"/>
      <scheme val="minor"/>
    </font>
    <font>
      <name val="Corbel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b val="1"/>
      <color theme="4" tint="-0.249977111117893"/>
      <sz val="10"/>
    </font>
    <font>
      <name val="Corbel"/>
      <family val="2"/>
      <color theme="10"/>
      <sz val="12"/>
      <u val="single"/>
      <scheme val="minor"/>
    </font>
    <font>
      <name val="Corbel"/>
      <family val="2"/>
      <color theme="11"/>
      <sz val="12"/>
      <u val="single"/>
      <scheme val="minor"/>
    </font>
    <font>
      <name val="Arial"/>
      <family val="2"/>
      <color theme="1"/>
      <sz val="12"/>
    </font>
    <font>
      <name val="Century GothiC "/>
      <b val="1"/>
      <color theme="0" tint="-0.499984740745262"/>
      <sz val="22"/>
    </font>
    <font>
      <name val="Century GothiC "/>
      <b val="1"/>
      <color theme="0" tint="-0.499984740745262"/>
      <sz val="10"/>
    </font>
    <font>
      <name val="Century GothiC "/>
      <color theme="1"/>
      <sz val="10"/>
    </font>
    <font>
      <name val="Century Gothic"/>
      <family val="1"/>
      <b val="1"/>
      <color theme="0" tint="-0.499984740745262"/>
      <sz val="16"/>
    </font>
    <font>
      <name val="Century Gothic"/>
      <family val="1"/>
      <b val="1"/>
      <color theme="4" tint="-0.249977111117893"/>
      <sz val="10"/>
    </font>
    <font>
      <name val="Century Gothic"/>
      <family val="1"/>
      <color theme="1"/>
      <sz val="12"/>
    </font>
    <font>
      <name val="Century Gothic"/>
      <family val="1"/>
      <b val="1"/>
      <color theme="1"/>
      <sz val="9"/>
    </font>
    <font>
      <name val="Century Gothic"/>
      <family val="1"/>
      <b val="1"/>
      <color theme="1"/>
      <sz val="8"/>
    </font>
    <font>
      <name val="Century Gothic"/>
      <family val="1"/>
      <b val="1"/>
      <color theme="0"/>
      <sz val="10"/>
    </font>
    <font>
      <name val="Century Gothic"/>
      <family val="1"/>
      <b val="1"/>
      <color theme="1"/>
      <sz val="10"/>
    </font>
    <font>
      <name val="Century Gothic"/>
      <family val="1"/>
      <color theme="1"/>
      <sz val="9"/>
    </font>
    <font>
      <name val="Century Gothic"/>
      <family val="1"/>
      <color theme="1"/>
      <sz val="10"/>
    </font>
    <font>
      <name val="Century Gothic"/>
      <family val="1"/>
      <b val="1"/>
      <color theme="0" tint="-0.499984740745262"/>
      <sz val="8"/>
    </font>
    <font>
      <name val="Century Gothic"/>
      <family val="1"/>
      <b val="1"/>
      <color theme="0" tint="-0.499984740745262"/>
      <sz val="10"/>
    </font>
    <font>
      <name val="Century Gothic"/>
      <family val="1"/>
      <b val="1"/>
      <color theme="0" tint="-0.499984740745262"/>
      <sz val="11"/>
    </font>
    <font>
      <name val="Century Gothic"/>
      <family val="1"/>
      <color theme="8" tint="-0.249977111117893"/>
      <sz val="11"/>
    </font>
    <font>
      <name val="Century Gothic"/>
      <family val="1"/>
      <color theme="8" tint="-0.249977111117893"/>
      <sz val="7"/>
    </font>
    <font>
      <name val="Century Gothic"/>
      <family val="1"/>
      <b val="1"/>
      <color theme="0" tint="-0.499984740745262"/>
      <sz val="18"/>
    </font>
    <font>
      <name val="Century GothiC "/>
      <b val="1"/>
      <color theme="0"/>
      <sz val="10"/>
    </font>
    <font>
      <name val="Century GothiC "/>
      <b val="1"/>
      <color rgb="FF008000"/>
      <sz val="10"/>
    </font>
    <font>
      <name val="Century GothiC "/>
      <b val="1"/>
      <color rgb="FFFF0000"/>
      <sz val="10"/>
    </font>
    <font>
      <name val="Century GothiC "/>
      <b val="1"/>
      <color rgb="FFFF6600"/>
      <sz val="10"/>
    </font>
    <font>
      <name val="Century Gothic"/>
      <family val="1"/>
      <b val="1"/>
      <color theme="1"/>
      <sz val="12"/>
    </font>
    <font>
      <name val="Corbel"/>
      <family val="2"/>
      <color theme="1"/>
      <sz val="11"/>
      <scheme val="minor"/>
    </font>
    <font>
      <name val="Corbel"/>
      <family val="2"/>
      <color theme="10"/>
      <sz val="12"/>
      <scheme val="minor"/>
    </font>
    <font>
      <name val="Corbel"/>
      <color rgb="FFFFFFFF"/>
      <sz val="22"/>
    </font>
    <font>
      <name val="Corbel"/>
      <family val="2"/>
      <color rgb="FF3F3F76"/>
      <sz val="11"/>
      <scheme val="minor"/>
    </font>
    <font>
      <name val="Corbel"/>
      <family val="2"/>
      <sz val="8"/>
      <scheme val="minor"/>
    </font>
    <font>
      <name val="Corbel"/>
      <family val="2"/>
      <b val="1"/>
      <color theme="0"/>
      <sz val="14"/>
      <scheme val="minor"/>
    </font>
    <font>
      <name val="Corbel"/>
      <family val="2"/>
      <b val="1"/>
      <color rgb="FF3F3F76"/>
      <sz val="14"/>
      <scheme val="minor"/>
    </font>
    <font>
      <name val="Corbel"/>
      <family val="2"/>
      <b val="1"/>
      <color theme="1"/>
      <sz val="14"/>
      <scheme val="minor"/>
    </font>
    <font>
      <name val="Aparajita"/>
      <family val="1"/>
      <color theme="1"/>
      <sz val="12"/>
    </font>
    <font>
      <name val="Arial"/>
      <family val="2"/>
      <color theme="1"/>
      <sz val="11"/>
    </font>
    <font>
      <name val="Aparajita"/>
      <family val="1"/>
      <color theme="1"/>
      <sz val="11"/>
    </font>
  </fonts>
  <fills count="3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C99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9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/>
      <top/>
      <bottom style="double">
        <color theme="0" tint="-0.249977111117893"/>
      </bottom>
      <diagonal/>
    </border>
    <border>
      <left style="medium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8"/>
      </right>
      <top style="medium">
        <color theme="0" tint="-0.3499862666707358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3499862666707358"/>
      </left>
      <right style="medium">
        <color theme="0" tint="-0.3499862666707358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8"/>
      </left>
      <right style="medium">
        <color theme="0" tint="-0.3499862666707358"/>
      </right>
      <top style="thin">
        <color theme="0" tint="-0.249977111117893"/>
      </top>
      <bottom style="medium">
        <color theme="0" tint="-0.3499862666707358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/>
      <bottom/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3499862666707358"/>
      </right>
      <top/>
      <bottom/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3499862666707358"/>
      </left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medium">
        <color theme="0" tint="-0.3499862666707358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double">
        <color theme="0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/>
      <diagonal/>
    </border>
    <border>
      <left style="medium">
        <color theme="0" tint="-0.3499862666707358"/>
      </left>
      <right style="medium">
        <color theme="0" tint="-0.3499862666707358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 style="thin">
        <color auto="1"/>
      </right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/>
      <diagonal/>
    </border>
    <border>
      <left style="medium">
        <color theme="0" tint="-0.3499862666707358"/>
      </left>
      <right style="medium">
        <color theme="0" tint="-0.3499862666707358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medium">
        <color theme="0" tint="-0.3499862666707358"/>
      </top>
      <bottom/>
      <diagonal/>
    </border>
    <border>
      <left/>
      <right style="thin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249977111117893"/>
      </left>
      <right style="medium">
        <color theme="0" tint="-0.249977111117893"/>
      </right>
      <top/>
      <bottom/>
      <diagonal/>
    </border>
  </borders>
  <cellStyleXfs count="6">
    <xf numFmtId="0" fontId="2" fillId="0" borderId="0"/>
    <xf numFmtId="9" fontId="2" fillId="0" borderId="0"/>
    <xf numFmtId="0" fontId="5" fillId="0" borderId="0"/>
    <xf numFmtId="0" fontId="6" fillId="0" borderId="0"/>
    <xf numFmtId="0" fontId="31" fillId="0" borderId="0"/>
    <xf numFmtId="0" fontId="34" fillId="32" borderId="64"/>
  </cellStyleXfs>
  <cellXfs count="300">
    <xf numFmtId="0" fontId="0" fillId="0" borderId="0" pivotButton="0" quotePrefix="0" xfId="0"/>
    <xf numFmtId="0" fontId="3" fillId="0" borderId="4" pivotButton="0" quotePrefix="0" xfId="0"/>
    <xf numFmtId="0" fontId="3" fillId="0" borderId="1" pivotButton="0" quotePrefix="0" xfId="0"/>
    <xf numFmtId="0" fontId="3" fillId="10" borderId="1" pivotButton="0" quotePrefix="0" xfId="0"/>
    <xf numFmtId="0" fontId="3" fillId="0" borderId="5" pivotButton="0" quotePrefix="0" xfId="0"/>
    <xf numFmtId="0" fontId="3" fillId="11" borderId="1" pivotButton="0" quotePrefix="0" xfId="0"/>
    <xf numFmtId="0" fontId="3" fillId="12" borderId="1" pivotButton="0" quotePrefix="0" xfId="0"/>
    <xf numFmtId="0" fontId="3" fillId="13" borderId="1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10" borderId="7" pivotButton="0" quotePrefix="0" xfId="0"/>
    <xf numFmtId="0" fontId="3" fillId="0" borderId="8" pivotButton="0" quotePrefix="0" xfId="0"/>
    <xf numFmtId="0" fontId="3" fillId="11" borderId="7" pivotButton="0" quotePrefix="0" xfId="0"/>
    <xf numFmtId="0" fontId="3" fillId="12" borderId="7" pivotButton="0" quotePrefix="0" xfId="0"/>
    <xf numFmtId="0" fontId="3" fillId="13" borderId="7" pivotButton="0" quotePrefix="0" xfId="0"/>
    <xf numFmtId="0" fontId="4" fillId="0" borderId="0" applyAlignment="1" pivotButton="0" quotePrefix="0" xfId="0">
      <alignment horizontal="left" vertical="center"/>
    </xf>
    <xf numFmtId="0" fontId="3" fillId="14" borderId="4" pivotButton="0" quotePrefix="0" xfId="0"/>
    <xf numFmtId="0" fontId="3" fillId="14" borderId="1" pivotButton="0" quotePrefix="0" xfId="0"/>
    <xf numFmtId="0" fontId="3" fillId="14" borderId="5" pivotButton="0" quotePrefix="0" xfId="0"/>
    <xf numFmtId="0" fontId="4" fillId="0" borderId="18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30" pivotButton="0" quotePrefix="0" xfId="0"/>
    <xf numFmtId="0" fontId="4" fillId="19" borderId="30" applyAlignment="1" pivotButton="0" quotePrefix="0" xfId="0">
      <alignment horizontal="left" vertical="center"/>
    </xf>
    <xf numFmtId="0" fontId="0" fillId="20" borderId="18" pivotButton="0" quotePrefix="0" xfId="0"/>
    <xf numFmtId="0" fontId="0" fillId="21" borderId="18" pivotButton="0" quotePrefix="0" xfId="0"/>
    <xf numFmtId="0" fontId="0" fillId="18" borderId="18" pivotButton="0" quotePrefix="0" xfId="0"/>
    <xf numFmtId="0" fontId="0" fillId="22" borderId="18" pivotButton="0" quotePrefix="0" xfId="0"/>
    <xf numFmtId="0" fontId="3" fillId="2" borderId="4" pivotButton="0" quotePrefix="0" xfId="0"/>
    <xf numFmtId="0" fontId="3" fillId="4" borderId="4" pivotButton="0" quotePrefix="0" xfId="0"/>
    <xf numFmtId="0" fontId="3" fillId="6" borderId="4" pivotButton="0" quotePrefix="0" xfId="0"/>
    <xf numFmtId="0" fontId="3" fillId="8" borderId="4" pivotButton="0" quotePrefix="0" xfId="0"/>
    <xf numFmtId="0" fontId="7" fillId="0" borderId="0" pivotButton="0" quotePrefix="0" xfId="0"/>
    <xf numFmtId="0" fontId="8" fillId="23" borderId="0" applyAlignment="1" pivotButton="0" quotePrefix="0" xfId="0">
      <alignment vertical="center"/>
    </xf>
    <xf numFmtId="0" fontId="9" fillId="23" borderId="0" applyAlignment="1" pivotButton="0" quotePrefix="0" xfId="0">
      <alignment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39" applyAlignment="1" pivotButton="0" quotePrefix="0" xfId="0">
      <alignment vertical="center"/>
    </xf>
    <xf numFmtId="0" fontId="14" fillId="19" borderId="30" applyAlignment="1" pivotButton="0" quotePrefix="0" xfId="0">
      <alignment horizontal="center" vertical="center" wrapText="1"/>
    </xf>
    <xf numFmtId="0" fontId="12" fillId="19" borderId="30" applyAlignment="1" pivotButton="0" quotePrefix="0" xfId="0">
      <alignment horizontal="left" vertical="center"/>
    </xf>
    <xf numFmtId="0" fontId="13" fillId="19" borderId="30" pivotButton="0" quotePrefix="0" xfId="0"/>
    <xf numFmtId="0" fontId="13" fillId="0" borderId="30" pivotButton="0" quotePrefix="0" xfId="0"/>
    <xf numFmtId="0" fontId="13" fillId="0" borderId="31" pivotButton="0" quotePrefix="0" xfId="0"/>
    <xf numFmtId="0" fontId="14" fillId="2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/>
    </xf>
    <xf numFmtId="0" fontId="13" fillId="0" borderId="18" pivotButton="0" quotePrefix="0" xfId="0"/>
    <xf numFmtId="0" fontId="13" fillId="20" borderId="18" pivotButton="0" quotePrefix="0" xfId="0"/>
    <xf numFmtId="0" fontId="13" fillId="0" borderId="33" pivotButton="0" quotePrefix="0" xfId="0"/>
    <xf numFmtId="0" fontId="14" fillId="21" borderId="18" applyAlignment="1" pivotButton="0" quotePrefix="0" xfId="0">
      <alignment horizontal="center" vertical="center" wrapText="1"/>
    </xf>
    <xf numFmtId="0" fontId="13" fillId="21" borderId="18" pivotButton="0" quotePrefix="0" xfId="0"/>
    <xf numFmtId="0" fontId="14" fillId="18" borderId="18" applyAlignment="1" pivotButton="0" quotePrefix="0" xfId="0">
      <alignment horizontal="center" vertical="center" wrapText="1"/>
    </xf>
    <xf numFmtId="0" fontId="13" fillId="18" borderId="18" pivotButton="0" quotePrefix="0" xfId="0"/>
    <xf numFmtId="0" fontId="14" fillId="22" borderId="18" applyAlignment="1" pivotButton="0" quotePrefix="0" xfId="0">
      <alignment horizontal="center" vertical="center" wrapText="1"/>
    </xf>
    <xf numFmtId="0" fontId="13" fillId="22" borderId="18" pivotButton="0" quotePrefix="0" xfId="0"/>
    <xf numFmtId="0" fontId="15" fillId="14" borderId="45" applyAlignment="1" pivotButton="0" quotePrefix="0" xfId="0">
      <alignment horizontal="center" vertical="center" wrapText="1"/>
    </xf>
    <xf numFmtId="0" fontId="15" fillId="14" borderId="18" applyAlignment="1" pivotButton="0" quotePrefix="0" xfId="0">
      <alignment horizontal="center" vertical="center" wrapText="1"/>
    </xf>
    <xf numFmtId="0" fontId="15" fillId="14" borderId="33" applyAlignment="1" pivotButton="0" quotePrefix="0" xfId="0">
      <alignment horizontal="center" vertical="center" wrapText="1"/>
    </xf>
    <xf numFmtId="0" fontId="17" fillId="3" borderId="11" applyAlignment="1" pivotButton="0" quotePrefix="0" xfId="0">
      <alignment horizontal="center" vertical="center"/>
    </xf>
    <xf numFmtId="0" fontId="17" fillId="3" borderId="12" applyAlignment="1" pivotButton="0" quotePrefix="0" xfId="0">
      <alignment horizontal="center" vertical="center"/>
    </xf>
    <xf numFmtId="0" fontId="17" fillId="3" borderId="17" applyAlignment="1" pivotButton="0" quotePrefix="0" xfId="0">
      <alignment horizontal="center" vertical="center"/>
    </xf>
    <xf numFmtId="0" fontId="17" fillId="5" borderId="11" applyAlignment="1" pivotButton="0" quotePrefix="0" xfId="0">
      <alignment horizontal="center" vertical="center"/>
    </xf>
    <xf numFmtId="0" fontId="17" fillId="5" borderId="12" applyAlignment="1" pivotButton="0" quotePrefix="0" xfId="0">
      <alignment horizontal="center" vertical="center"/>
    </xf>
    <xf numFmtId="0" fontId="17" fillId="5" borderId="17" applyAlignment="1" pivotButton="0" quotePrefix="0" xfId="0">
      <alignment horizontal="center" vertical="center"/>
    </xf>
    <xf numFmtId="0" fontId="17" fillId="7" borderId="11" applyAlignment="1" pivotButton="0" quotePrefix="0" xfId="0">
      <alignment horizontal="center" vertical="center"/>
    </xf>
    <xf numFmtId="0" fontId="17" fillId="7" borderId="12" applyAlignment="1" pivotButton="0" quotePrefix="0" xfId="0">
      <alignment horizontal="center" vertical="center"/>
    </xf>
    <xf numFmtId="0" fontId="17" fillId="7" borderId="17" applyAlignment="1" pivotButton="0" quotePrefix="0" xfId="0">
      <alignment horizontal="center" vertical="center"/>
    </xf>
    <xf numFmtId="0" fontId="17" fillId="9" borderId="11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7" applyAlignment="1" pivotButton="0" quotePrefix="0" xfId="0">
      <alignment horizontal="center" vertical="center"/>
    </xf>
    <xf numFmtId="0" fontId="19" fillId="14" borderId="4" pivotButton="0" quotePrefix="0" xfId="0"/>
    <xf numFmtId="0" fontId="19" fillId="14" borderId="1" pivotButton="0" quotePrefix="0" xfId="0"/>
    <xf numFmtId="0" fontId="19" fillId="14" borderId="5" pivotButton="0" quotePrefix="0" xfId="0"/>
    <xf numFmtId="0" fontId="18" fillId="0" borderId="18" applyAlignment="1" pivotButton="0" quotePrefix="0" xfId="0">
      <alignment horizontal="center" vertical="center"/>
    </xf>
    <xf numFmtId="0" fontId="19" fillId="0" borderId="4" pivotButton="0" quotePrefix="0" xfId="0"/>
    <xf numFmtId="0" fontId="19" fillId="0" borderId="1" pivotButton="0" quotePrefix="0" xfId="0"/>
    <xf numFmtId="0" fontId="19" fillId="15" borderId="1" pivotButton="0" quotePrefix="0" xfId="0"/>
    <xf numFmtId="0" fontId="19" fillId="10" borderId="1" pivotButton="0" quotePrefix="0" xfId="0"/>
    <xf numFmtId="0" fontId="19" fillId="0" borderId="5" pivotButton="0" quotePrefix="0" xfId="0"/>
    <xf numFmtId="0" fontId="19" fillId="11" borderId="1" pivotButton="0" quotePrefix="0" xfId="0"/>
    <xf numFmtId="0" fontId="19" fillId="12" borderId="1" pivotButton="0" quotePrefix="0" xfId="0"/>
    <xf numFmtId="0" fontId="19" fillId="16" borderId="4" pivotButton="0" quotePrefix="0" xfId="0"/>
    <xf numFmtId="0" fontId="19" fillId="16" borderId="1" pivotButton="0" quotePrefix="0" xfId="0"/>
    <xf numFmtId="0" fontId="19" fillId="0" borderId="6" pivotButton="0" quotePrefix="0" xfId="0"/>
    <xf numFmtId="0" fontId="19" fillId="0" borderId="7" pivotButton="0" quotePrefix="0" xfId="0"/>
    <xf numFmtId="0" fontId="19" fillId="10" borderId="7" pivotButton="0" quotePrefix="0" xfId="0"/>
    <xf numFmtId="0" fontId="19" fillId="0" borderId="8" pivotButton="0" quotePrefix="0" xfId="0"/>
    <xf numFmtId="0" fontId="19" fillId="11" borderId="7" pivotButton="0" quotePrefix="0" xfId="0"/>
    <xf numFmtId="0" fontId="19" fillId="12" borderId="7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6" fillId="22" borderId="18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indent="1"/>
    </xf>
    <xf numFmtId="0" fontId="24" fillId="19" borderId="18" applyAlignment="1" pivotButton="0" quotePrefix="0" xfId="0">
      <alignment horizontal="center" vertical="center"/>
    </xf>
    <xf numFmtId="1" fontId="24" fillId="19" borderId="18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/>
    </xf>
    <xf numFmtId="0" fontId="19" fillId="0" borderId="4" applyAlignment="1" pivotButton="0" quotePrefix="0" xfId="0">
      <alignment horizontal="left" vertical="center" wrapText="1" indent="1"/>
    </xf>
    <xf numFmtId="0" fontId="19" fillId="0" borderId="1" applyAlignment="1" pivotButton="0" quotePrefix="0" xfId="0">
      <alignment horizontal="left" vertical="center" wrapText="1" indent="1"/>
    </xf>
    <xf numFmtId="0" fontId="19" fillId="0" borderId="6" applyAlignment="1" pivotButton="0" quotePrefix="0" xfId="0">
      <alignment horizontal="left" vertical="center" wrapText="1" indent="1"/>
    </xf>
    <xf numFmtId="0" fontId="19" fillId="0" borderId="7" applyAlignment="1" pivotButton="0" quotePrefix="0" xfId="0">
      <alignment horizontal="left" vertical="center" wrapText="1" indent="1"/>
    </xf>
    <xf numFmtId="164" fontId="19" fillId="25" borderId="22" applyAlignment="1" pivotButton="0" quotePrefix="0" xfId="0">
      <alignment horizontal="center" vertical="center" wrapText="1"/>
    </xf>
    <xf numFmtId="164" fontId="19" fillId="25" borderId="49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17" fillId="0" borderId="24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 wrapText="1" indent="1"/>
    </xf>
    <xf numFmtId="0" fontId="27" fillId="0" borderId="52" applyAlignment="1" pivotButton="0" quotePrefix="0" xfId="0">
      <alignment horizontal="center" vertical="center"/>
    </xf>
    <xf numFmtId="0" fontId="28" fillId="0" borderId="52" applyAlignment="1" pivotButton="0" quotePrefix="0" xfId="0">
      <alignment horizontal="center" vertical="center"/>
    </xf>
    <xf numFmtId="0" fontId="29" fillId="0" borderId="52" applyAlignment="1" pivotButton="0" quotePrefix="0" xfId="0">
      <alignment horizontal="center" vertical="center"/>
    </xf>
    <xf numFmtId="0" fontId="9" fillId="0" borderId="52" applyAlignment="1" pivotButton="0" quotePrefix="0" xfId="0">
      <alignment horizontal="center" vertical="center"/>
    </xf>
    <xf numFmtId="0" fontId="9" fillId="0" borderId="53" applyAlignment="1" pivotButton="0" quotePrefix="0" xfId="0">
      <alignment horizontal="center" vertical="center"/>
    </xf>
    <xf numFmtId="0" fontId="26" fillId="26" borderId="52" applyAlignment="1" pivotButton="0" quotePrefix="0" xfId="0">
      <alignment horizontal="center" vertical="center"/>
    </xf>
    <xf numFmtId="0" fontId="26" fillId="27" borderId="52" applyAlignment="1" pivotButton="0" quotePrefix="0" xfId="0">
      <alignment horizontal="center" vertical="center"/>
    </xf>
    <xf numFmtId="0" fontId="26" fillId="28" borderId="52" applyAlignment="1" pivotButton="0" quotePrefix="0" xfId="0">
      <alignment horizontal="center" vertical="center"/>
    </xf>
    <xf numFmtId="0" fontId="26" fillId="29" borderId="53" applyAlignment="1" pivotButton="0" quotePrefix="0" xfId="0">
      <alignment horizontal="center" vertical="center"/>
    </xf>
    <xf numFmtId="0" fontId="19" fillId="0" borderId="55" applyAlignment="1" pivotButton="0" quotePrefix="0" xfId="0">
      <alignment horizontal="left" vertical="center" wrapText="1" indent="1"/>
    </xf>
    <xf numFmtId="0" fontId="19" fillId="0" borderId="56" applyAlignment="1" pivotButton="0" quotePrefix="0" xfId="0">
      <alignment horizontal="left" vertical="center" wrapText="1" inden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19" fillId="0" borderId="16" applyAlignment="1" pivotButton="0" quotePrefix="0" xfId="0">
      <alignment horizontal="center" vertical="center" wrapText="1"/>
    </xf>
    <xf numFmtId="0" fontId="19" fillId="0" borderId="28" applyAlignment="1" pivotButton="0" quotePrefix="0" xfId="0">
      <alignment horizontal="left" vertical="center" wrapText="1" indent="1"/>
    </xf>
    <xf numFmtId="0" fontId="19" fillId="0" borderId="43" applyAlignment="1" pivotButton="0" quotePrefix="0" xfId="0">
      <alignment horizontal="left" vertical="center" wrapText="1" indent="1"/>
    </xf>
    <xf numFmtId="0" fontId="19" fillId="0" borderId="52" applyAlignment="1" pivotButton="0" quotePrefix="0" xfId="0">
      <alignment horizontal="left" vertical="center" wrapText="1" indent="1"/>
    </xf>
    <xf numFmtId="0" fontId="19" fillId="0" borderId="53" applyAlignment="1" pivotButton="0" quotePrefix="0" xfId="0">
      <alignment horizontal="left" vertical="center" wrapText="1" indent="1"/>
    </xf>
    <xf numFmtId="0" fontId="14" fillId="24" borderId="19" applyAlignment="1" pivotButton="0" quotePrefix="0" xfId="0">
      <alignment horizontal="left" vertical="center" wrapText="1" indent="1"/>
    </xf>
    <xf numFmtId="0" fontId="14" fillId="24" borderId="20" applyAlignment="1" pivotButton="0" quotePrefix="0" xfId="0">
      <alignment horizontal="left" vertical="center" wrapText="1" indent="1"/>
    </xf>
    <xf numFmtId="0" fontId="14" fillId="24" borderId="21" applyAlignment="1" pivotButton="0" quotePrefix="0" xfId="0">
      <alignment horizontal="center" vertical="center" wrapText="1"/>
    </xf>
    <xf numFmtId="0" fontId="14" fillId="24" borderId="57" applyAlignment="1" pivotButton="0" quotePrefix="0" xfId="0">
      <alignment horizontal="center" vertical="center" wrapText="1"/>
    </xf>
    <xf numFmtId="0" fontId="14" fillId="24" borderId="51" applyAlignment="1" pivotButton="0" quotePrefix="0" xfId="0">
      <alignment horizontal="center" vertical="center" wrapText="1"/>
    </xf>
    <xf numFmtId="0" fontId="14" fillId="24" borderId="37" applyAlignment="1" pivotButton="0" quotePrefix="0" xfId="0">
      <alignment horizontal="center" vertical="center" wrapText="1"/>
    </xf>
    <xf numFmtId="0" fontId="14" fillId="24" borderId="3" applyAlignment="1" pivotButton="0" quotePrefix="0" xfId="0">
      <alignment horizontal="center" vertical="center" wrapText="1"/>
    </xf>
    <xf numFmtId="0" fontId="14" fillId="24" borderId="40" applyAlignment="1" pivotButton="0" quotePrefix="0" xfId="0">
      <alignment horizontal="center" vertical="center" wrapText="1"/>
    </xf>
    <xf numFmtId="0" fontId="14" fillId="24" borderId="54" applyAlignment="1" pivotButton="0" quotePrefix="0" xfId="0">
      <alignment horizontal="center" vertical="center" wrapText="1"/>
    </xf>
    <xf numFmtId="0" fontId="16" fillId="30" borderId="58" applyAlignment="1" pivotButton="0" quotePrefix="0" xfId="0">
      <alignment horizontal="left"/>
    </xf>
    <xf numFmtId="0" fontId="16" fillId="30" borderId="10" applyAlignment="1" pivotButton="0" quotePrefix="0" xfId="0">
      <alignment horizontal="left" vertical="top"/>
    </xf>
    <xf numFmtId="0" fontId="16" fillId="31" borderId="10" applyAlignment="1" pivotButton="0" quotePrefix="0" xfId="0">
      <alignment horizontal="left" vertical="center"/>
    </xf>
    <xf numFmtId="0" fontId="16" fillId="31" borderId="1" applyAlignment="1" pivotButton="0" quotePrefix="0" xfId="0">
      <alignment horizontal="left" vertical="center"/>
    </xf>
    <xf numFmtId="49" fontId="19" fillId="17" borderId="14" applyAlignment="1" pivotButton="0" quotePrefix="0" xfId="0">
      <alignment horizontal="left" vertical="center" indent="1"/>
    </xf>
    <xf numFmtId="0" fontId="19" fillId="14" borderId="45" applyAlignment="1" pivotButton="0" quotePrefix="0" xfId="0">
      <alignment horizontal="center" vertical="center"/>
    </xf>
    <xf numFmtId="0" fontId="19" fillId="14" borderId="18" applyAlignment="1" pivotButton="0" quotePrefix="0" xfId="0">
      <alignment horizontal="center" vertical="center"/>
    </xf>
    <xf numFmtId="0" fontId="19" fillId="14" borderId="33" applyAlignment="1" pivotButton="0" quotePrefix="0" xfId="0">
      <alignment horizontal="center" vertical="center"/>
    </xf>
    <xf numFmtId="0" fontId="19" fillId="14" borderId="48" applyAlignment="1" pivotButton="0" quotePrefix="0" xfId="0">
      <alignment horizontal="left" vertical="center" indent="1"/>
    </xf>
    <xf numFmtId="14" fontId="19" fillId="14" borderId="38" applyAlignment="1" pivotButton="0" quotePrefix="0" xfId="0">
      <alignment horizontal="center" vertical="center"/>
    </xf>
    <xf numFmtId="14" fontId="19" fillId="14" borderId="10" applyAlignment="1" pivotButton="0" quotePrefix="0" xfId="0">
      <alignment horizontal="center" vertical="center"/>
    </xf>
    <xf numFmtId="1" fontId="19" fillId="14" borderId="10" applyAlignment="1" pivotButton="0" quotePrefix="0" xfId="0">
      <alignment horizontal="center" vertical="center"/>
    </xf>
    <xf numFmtId="9" fontId="17" fillId="14" borderId="10" applyAlignment="1" pivotButton="0" quotePrefix="0" xfId="1">
      <alignment horizontal="center" vertical="center"/>
    </xf>
    <xf numFmtId="49" fontId="19" fillId="17" borderId="15" applyAlignment="1" pivotButton="0" quotePrefix="0" xfId="0">
      <alignment horizontal="left" vertical="center" indent="1"/>
    </xf>
    <xf numFmtId="0" fontId="19" fillId="0" borderId="4" applyAlignment="1" pivotButton="0" quotePrefix="0" xfId="0">
      <alignment horizontal="left" vertical="center" indent="2"/>
    </xf>
    <xf numFmtId="0" fontId="19" fillId="0" borderId="24" applyAlignment="1" pivotButton="0" quotePrefix="0" xfId="0">
      <alignment horizontal="left" vertical="center" indent="1"/>
    </xf>
    <xf numFmtId="0" fontId="19" fillId="0" borderId="45" applyAlignment="1" pivotButton="0" quotePrefix="0" xfId="0">
      <alignment horizontal="center" vertical="center"/>
    </xf>
    <xf numFmtId="0" fontId="19" fillId="0" borderId="18" applyAlignment="1" pivotButton="0" quotePrefix="0" xfId="0">
      <alignment horizontal="center" vertical="center"/>
    </xf>
    <xf numFmtId="0" fontId="19" fillId="17" borderId="33" applyAlignment="1" pivotButton="0" quotePrefix="0" xfId="0">
      <alignment horizontal="center" vertical="center"/>
    </xf>
    <xf numFmtId="0" fontId="19" fillId="0" borderId="26" applyAlignment="1" pivotButton="0" quotePrefix="0" xfId="0">
      <alignment horizontal="left" vertical="center" indent="2"/>
    </xf>
    <xf numFmtId="165" fontId="19" fillId="0" borderId="28" applyAlignment="1" pivotButton="0" quotePrefix="0" xfId="0">
      <alignment horizontal="center" vertical="center"/>
    </xf>
    <xf numFmtId="165" fontId="19" fillId="0" borderId="1" applyAlignment="1" pivotButton="0" quotePrefix="0" xfId="0">
      <alignment horizontal="center" vertical="center"/>
    </xf>
    <xf numFmtId="1" fontId="19" fillId="17" borderId="1" applyAlignment="1" pivotButton="0" quotePrefix="0" xfId="0">
      <alignment horizontal="center" vertical="center"/>
    </xf>
    <xf numFmtId="9" fontId="17" fillId="23" borderId="10" applyAlignment="1" pivotButton="0" quotePrefix="0" xfId="1">
      <alignment horizontal="center" vertical="center"/>
    </xf>
    <xf numFmtId="0" fontId="19" fillId="0" borderId="4" applyAlignment="1" pivotButton="0" quotePrefix="0" xfId="0">
      <alignment horizontal="left" vertical="center" indent="3"/>
    </xf>
    <xf numFmtId="0" fontId="19" fillId="0" borderId="24" applyAlignment="1" pivotButton="0" quotePrefix="0" xfId="0">
      <alignment horizontal="left" vertical="center" indent="2"/>
    </xf>
    <xf numFmtId="0" fontId="19" fillId="0" borderId="26" applyAlignment="1" pivotButton="0" quotePrefix="0" xfId="0">
      <alignment horizontal="left" vertical="center" indent="3"/>
    </xf>
    <xf numFmtId="0" fontId="19" fillId="14" borderId="26" applyAlignment="1" pivotButton="0" quotePrefix="0" xfId="0">
      <alignment horizontal="left" vertical="center" indent="1"/>
    </xf>
    <xf numFmtId="165" fontId="19" fillId="14" borderId="28" applyAlignment="1" pivotButton="0" quotePrefix="0" xfId="0">
      <alignment horizontal="center" vertical="center"/>
    </xf>
    <xf numFmtId="165" fontId="19" fillId="14" borderId="1" applyAlignment="1" pivotButton="0" quotePrefix="0" xfId="0">
      <alignment horizontal="center" vertical="center"/>
    </xf>
    <xf numFmtId="14" fontId="19" fillId="14" borderId="1" applyAlignment="1" pivotButton="0" quotePrefix="0" xfId="0">
      <alignment horizontal="center" vertical="center"/>
    </xf>
    <xf numFmtId="0" fontId="19" fillId="0" borderId="42" applyAlignment="1" pivotButton="0" quotePrefix="0" xfId="0">
      <alignment horizontal="left" vertical="center" indent="1"/>
    </xf>
    <xf numFmtId="49" fontId="19" fillId="17" borderId="16" applyAlignment="1" pivotButton="0" quotePrefix="0" xfId="0">
      <alignment horizontal="left" vertical="center" indent="1"/>
    </xf>
    <xf numFmtId="0" fontId="19" fillId="0" borderId="6" applyAlignment="1" pivotButton="0" quotePrefix="0" xfId="0">
      <alignment horizontal="left" vertical="center" indent="2"/>
    </xf>
    <xf numFmtId="0" fontId="19" fillId="0" borderId="47" applyAlignment="1" pivotButton="0" quotePrefix="0" xfId="0">
      <alignment horizontal="left" vertical="center" indent="1"/>
    </xf>
    <xf numFmtId="0" fontId="19" fillId="0" borderId="46" applyAlignment="1" pivotButton="0" quotePrefix="0" xfId="0">
      <alignment horizontal="center" vertical="center"/>
    </xf>
    <xf numFmtId="0" fontId="19" fillId="0" borderId="34" applyAlignment="1" pivotButton="0" quotePrefix="0" xfId="0">
      <alignment horizontal="center" vertical="center"/>
    </xf>
    <xf numFmtId="0" fontId="19" fillId="17" borderId="35" applyAlignment="1" pivotButton="0" quotePrefix="0" xfId="0">
      <alignment horizontal="center" vertical="center"/>
    </xf>
    <xf numFmtId="0" fontId="19" fillId="0" borderId="27" applyAlignment="1" pivotButton="0" quotePrefix="0" xfId="0">
      <alignment horizontal="left" vertical="center" indent="2"/>
    </xf>
    <xf numFmtId="165" fontId="19" fillId="0" borderId="43" applyAlignment="1" pivotButton="0" quotePrefix="0" xfId="0">
      <alignment horizontal="center" vertical="center"/>
    </xf>
    <xf numFmtId="165" fontId="19" fillId="0" borderId="7" applyAlignment="1" pivotButton="0" quotePrefix="0" xfId="0">
      <alignment horizontal="center" vertical="center"/>
    </xf>
    <xf numFmtId="1" fontId="19" fillId="17" borderId="23" applyAlignment="1" pivotButton="0" quotePrefix="0" xfId="0">
      <alignment horizontal="center" vertical="center"/>
    </xf>
    <xf numFmtId="9" fontId="17" fillId="23" borderId="8" applyAlignment="1" pivotButton="0" quotePrefix="0" xfId="1">
      <alignment horizontal="center" vertical="center"/>
    </xf>
    <xf numFmtId="166" fontId="22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14" fillId="14" borderId="18" applyAlignment="1" pivotButton="0" quotePrefix="0" xfId="0">
      <alignment horizontal="right" vertical="center" indent="1"/>
    </xf>
    <xf numFmtId="0" fontId="19" fillId="17" borderId="9" applyAlignment="1" pivotButton="0" quotePrefix="0" xfId="0">
      <alignment horizontal="left" vertical="center" indent="1"/>
    </xf>
    <xf numFmtId="0" fontId="19" fillId="17" borderId="41" applyAlignment="1" pivotButton="0" quotePrefix="0" xfId="0">
      <alignment horizontal="left" vertical="center" indent="2"/>
    </xf>
    <xf numFmtId="0" fontId="19" fillId="17" borderId="4" applyAlignment="1" pivotButton="0" quotePrefix="0" xfId="0">
      <alignment horizontal="left" vertical="center" indent="1"/>
    </xf>
    <xf numFmtId="0" fontId="19" fillId="17" borderId="24" applyAlignment="1" pivotButton="0" quotePrefix="0" xfId="0">
      <alignment horizontal="left" vertical="center" indent="1"/>
    </xf>
    <xf numFmtId="167" fontId="19" fillId="0" borderId="28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9" fillId="17" borderId="67" applyAlignment="1" pivotButton="0" quotePrefix="0" xfId="0">
      <alignment horizontal="center" vertical="center"/>
    </xf>
    <xf numFmtId="0" fontId="19" fillId="0" borderId="58" pivotButton="0" quotePrefix="0" xfId="0"/>
    <xf numFmtId="0" fontId="19" fillId="0" borderId="70" pivotButton="0" quotePrefix="0" xfId="0"/>
    <xf numFmtId="0" fontId="19" fillId="0" borderId="4" applyAlignment="1" pivotButton="0" quotePrefix="0" xfId="0">
      <alignment vertical="center"/>
    </xf>
    <xf numFmtId="49" fontId="19" fillId="3" borderId="15" applyAlignment="1" pivotButton="0" quotePrefix="0" xfId="0">
      <alignment horizontal="left" vertical="center" indent="1"/>
    </xf>
    <xf numFmtId="0" fontId="19" fillId="3" borderId="4" applyAlignment="1" pivotButton="0" quotePrefix="0" xfId="0">
      <alignment horizontal="left" vertical="center" indent="1"/>
    </xf>
    <xf numFmtId="0" fontId="19" fillId="3" borderId="24" applyAlignment="1" pivotButton="0" quotePrefix="0" xfId="0">
      <alignment horizontal="left" vertical="center" indent="1"/>
    </xf>
    <xf numFmtId="0" fontId="19" fillId="3" borderId="45" applyAlignment="1" pivotButton="0" quotePrefix="0" xfId="0">
      <alignment horizontal="center" vertical="center"/>
    </xf>
    <xf numFmtId="0" fontId="19" fillId="3" borderId="18" applyAlignment="1" pivotButton="0" quotePrefix="0" xfId="0">
      <alignment horizontal="center" vertical="center"/>
    </xf>
    <xf numFmtId="0" fontId="19" fillId="3" borderId="33" applyAlignment="1" pivotButton="0" quotePrefix="0" xfId="0">
      <alignment horizontal="center" vertical="center"/>
    </xf>
    <xf numFmtId="0" fontId="19" fillId="3" borderId="26" applyAlignment="1" pivotButton="0" quotePrefix="0" xfId="0">
      <alignment horizontal="left" vertical="center" indent="1"/>
    </xf>
    <xf numFmtId="9" fontId="17" fillId="0" borderId="10" applyAlignment="1" pivotButton="0" quotePrefix="0" xfId="1">
      <alignment horizontal="center" vertical="center"/>
    </xf>
    <xf numFmtId="49" fontId="19" fillId="3" borderId="14" applyAlignment="1" pivotButton="0" quotePrefix="0" xfId="0">
      <alignment horizontal="left" vertical="center" indent="1"/>
    </xf>
    <xf numFmtId="0" fontId="19" fillId="3" borderId="9" applyAlignment="1" pivotButton="0" quotePrefix="0" xfId="0">
      <alignment horizontal="left" vertical="center" indent="1"/>
    </xf>
    <xf numFmtId="0" fontId="19" fillId="3" borderId="41" applyAlignment="1" pivotButton="0" quotePrefix="0" xfId="0">
      <alignment horizontal="left" vertical="center" indent="2"/>
    </xf>
    <xf numFmtId="0" fontId="19" fillId="3" borderId="48" applyAlignment="1" pivotButton="0" quotePrefix="0" xfId="0">
      <alignment horizontal="left" vertical="center" indent="1"/>
    </xf>
    <xf numFmtId="14" fontId="19" fillId="3" borderId="38" applyAlignment="1" pivotButton="0" quotePrefix="0" xfId="0">
      <alignment horizontal="center" vertical="center"/>
    </xf>
    <xf numFmtId="1" fontId="19" fillId="3" borderId="10" applyAlignment="1" pivotButton="0" quotePrefix="0" xfId="0">
      <alignment horizontal="center" vertical="center"/>
    </xf>
    <xf numFmtId="0" fontId="19" fillId="0" borderId="6" applyAlignment="1" pivotButton="0" quotePrefix="0" xfId="0">
      <alignment vertical="center"/>
    </xf>
    <xf numFmtId="0" fontId="0" fillId="0" borderId="7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top"/>
    </xf>
    <xf numFmtId="14" fontId="19" fillId="0" borderId="38" applyAlignment="1" pivotButton="0" quotePrefix="0" xfId="0">
      <alignment horizontal="center" vertical="center"/>
    </xf>
    <xf numFmtId="0" fontId="19" fillId="0" borderId="26" applyAlignment="1" pivotButton="0" quotePrefix="0" xfId="0">
      <alignment horizontal="left" vertical="center" indent="1"/>
    </xf>
    <xf numFmtId="1" fontId="19" fillId="0" borderId="1" applyAlignment="1" pivotButton="0" quotePrefix="0" xfId="0">
      <alignment horizontal="center" vertical="center"/>
    </xf>
    <xf numFmtId="1" fontId="19" fillId="0" borderId="23" applyAlignment="1" pivotButton="0" quotePrefix="0" xfId="0">
      <alignment horizontal="center" vertical="center"/>
    </xf>
    <xf numFmtId="0" fontId="21" fillId="0" borderId="71" applyAlignment="1" pivotButton="0" quotePrefix="0" xfId="0">
      <alignment horizontal="right" vertical="center"/>
    </xf>
    <xf numFmtId="0" fontId="22" fillId="0" borderId="71" applyAlignment="1" pivotButton="0" quotePrefix="0" xfId="0">
      <alignment horizontal="center" vertical="center"/>
    </xf>
    <xf numFmtId="0" fontId="30" fillId="0" borderId="71" applyAlignment="1" pivotButton="0" quotePrefix="0" xfId="0">
      <alignment horizontal="center" vertical="center"/>
    </xf>
    <xf numFmtId="166" fontId="22" fillId="0" borderId="71" applyAlignment="1" pivotButton="0" quotePrefix="0" xfId="0">
      <alignment horizontal="center" vertical="center"/>
    </xf>
    <xf numFmtId="0" fontId="19" fillId="0" borderId="65" applyAlignment="1" pivotButton="0" quotePrefix="0" xfId="0">
      <alignment horizontal="center" vertical="center"/>
    </xf>
    <xf numFmtId="0" fontId="19" fillId="0" borderId="66" applyAlignment="1" pivotButton="0" quotePrefix="0" xfId="0">
      <alignment horizontal="center" vertical="center"/>
    </xf>
    <xf numFmtId="0" fontId="19" fillId="0" borderId="68" applyAlignment="1" pivotButton="0" quotePrefix="0" xfId="0">
      <alignment horizontal="left" vertical="center" indent="1"/>
    </xf>
    <xf numFmtId="165" fontId="19" fillId="0" borderId="69" applyAlignment="1" pivotButton="0" quotePrefix="0" xfId="0">
      <alignment horizontal="center" vertical="center"/>
    </xf>
    <xf numFmtId="0" fontId="13" fillId="0" borderId="71" pivotButton="0" quotePrefix="0" xfId="0"/>
    <xf numFmtId="0" fontId="20" fillId="0" borderId="71" applyAlignment="1" pivotButton="0" quotePrefix="0" xfId="0">
      <alignment horizontal="center" vertical="center"/>
    </xf>
    <xf numFmtId="0" fontId="36" fillId="35" borderId="71" applyAlignment="1" pivotButton="0" quotePrefix="0" xfId="0">
      <alignment horizontal="center" vertical="center"/>
    </xf>
    <xf numFmtId="0" fontId="34" fillId="0" borderId="0" applyAlignment="1" pivotButton="0" quotePrefix="0" xfId="6">
      <alignment vertical="center"/>
    </xf>
    <xf numFmtId="0" fontId="37" fillId="33" borderId="72" applyAlignment="1" pivotButton="0" quotePrefix="0" xfId="6">
      <alignment horizontal="center" vertical="center"/>
    </xf>
    <xf numFmtId="0" fontId="38" fillId="28" borderId="0" applyAlignment="1" pivotButton="0" quotePrefix="0" xfId="0">
      <alignment horizontal="center" vertical="center"/>
    </xf>
    <xf numFmtId="0" fontId="38" fillId="34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5" fontId="19" fillId="0" borderId="38" applyAlignment="1" pivotButton="0" quotePrefix="0" xfId="0">
      <alignment horizontal="center" vertical="center"/>
    </xf>
    <xf numFmtId="1" fontId="19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3" fillId="0" borderId="0" applyAlignment="1" pivotButton="0" quotePrefix="0" xfId="5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4" fillId="14" borderId="44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60" pivotButton="0" quotePrefix="0" xfId="0"/>
    <xf numFmtId="0" fontId="14" fillId="14" borderId="61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6" pivotButton="0" quotePrefix="0" xfId="0"/>
    <xf numFmtId="0" fontId="14" fillId="1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4" fillId="14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16" fillId="2" borderId="9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38" pivotButton="0" quotePrefix="0" xfId="0"/>
    <xf numFmtId="0" fontId="16" fillId="2" borderId="10" applyAlignment="1" pivotButton="0" quotePrefix="0" xfId="0">
      <alignment horizontal="center" vertical="center"/>
    </xf>
    <xf numFmtId="0" fontId="16" fillId="6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16" fillId="4" borderId="10" applyAlignment="1" pivotButton="0" quotePrefix="0" xfId="0">
      <alignment horizontal="center" vertical="center"/>
    </xf>
    <xf numFmtId="0" fontId="16" fillId="6" borderId="10" applyAlignment="1" pivotButton="0" quotePrefix="0" xfId="0">
      <alignment horizontal="center" vertical="center"/>
    </xf>
    <xf numFmtId="0" fontId="16" fillId="8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5" fillId="14" borderId="63" applyAlignment="1" pivotButton="0" quotePrefix="0" xfId="0">
      <alignment horizontal="center" vertical="center" wrapText="1"/>
    </xf>
    <xf numFmtId="0" fontId="0" fillId="0" borderId="13" pivotButton="0" quotePrefix="0" xfId="0"/>
    <xf numFmtId="0" fontId="14" fillId="14" borderId="25" applyAlignment="1" pivotButton="0" quotePrefix="0" xfId="0">
      <alignment horizontal="center" vertical="center" wrapText="1"/>
    </xf>
    <xf numFmtId="0" fontId="0" fillId="0" borderId="48" pivotButton="0" quotePrefix="0" xfId="0"/>
    <xf numFmtId="0" fontId="14" fillId="14" borderId="40" applyAlignment="1" pivotButton="0" quotePrefix="0" xfId="0">
      <alignment horizontal="left" vertical="center" wrapText="1" indent="1"/>
    </xf>
    <xf numFmtId="0" fontId="0" fillId="0" borderId="41" pivotButton="0" quotePrefix="0" xfId="0"/>
    <xf numFmtId="0" fontId="14" fillId="14" borderId="37" applyAlignment="1" pivotButton="0" quotePrefix="0" xfId="0">
      <alignment horizontal="center" vertical="center" wrapText="1"/>
    </xf>
    <xf numFmtId="0" fontId="14" fillId="14" borderId="3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16" fillId="8" borderId="10" applyAlignment="1" pivotButton="0" quotePrefix="0" xfId="0">
      <alignment horizontal="center" vertical="center"/>
    </xf>
    <xf numFmtId="0" fontId="39" fillId="0" borderId="0" pivotButton="0" quotePrefix="0" xfId="0"/>
    <xf numFmtId="0" fontId="1" fillId="0" borderId="0" pivotButton="0" quotePrefix="0" xfId="0"/>
    <xf numFmtId="0" fontId="40" fillId="36" borderId="71" applyAlignment="1" pivotButton="0" quotePrefix="0" xfId="0">
      <alignment horizontal="center"/>
    </xf>
    <xf numFmtId="0" fontId="40" fillId="36" borderId="71" applyAlignment="1" pivotButton="0" quotePrefix="0" xfId="0">
      <alignment horizontal="center" vertical="center"/>
    </xf>
    <xf numFmtId="0" fontId="41" fillId="0" borderId="0" pivotButton="0" quotePrefix="0" xfId="0"/>
    <xf numFmtId="0" fontId="1" fillId="23" borderId="0" pivotButton="0" quotePrefix="0" xfId="0"/>
    <xf numFmtId="0" fontId="40" fillId="23" borderId="0" pivotButton="0" quotePrefix="0" xfId="0"/>
    <xf numFmtId="0" fontId="40" fillId="23" borderId="71" applyAlignment="1" pivotButton="0" quotePrefix="0" xfId="0">
      <alignment horizontal="center"/>
    </xf>
    <xf numFmtId="0" fontId="40" fillId="23" borderId="75" pivotButton="0" quotePrefix="0" xfId="0"/>
    <xf numFmtId="0" fontId="40" fillId="23" borderId="77" pivotButton="0" quotePrefix="0" xfId="0"/>
    <xf numFmtId="0" fontId="40" fillId="23" borderId="71" applyAlignment="1" pivotButton="0" quotePrefix="0" xfId="0">
      <alignment horizontal="center" vertical="center"/>
    </xf>
    <xf numFmtId="0" fontId="41" fillId="23" borderId="0" pivotButton="0" quotePrefix="0" xfId="0"/>
    <xf numFmtId="0" fontId="40" fillId="23" borderId="73" pivotButton="0" quotePrefix="0" xfId="0"/>
    <xf numFmtId="0" fontId="40" fillId="23" borderId="83" pivotButton="0" quotePrefix="0" xfId="0"/>
    <xf numFmtId="0" fontId="40" fillId="23" borderId="86" pivotButton="0" quotePrefix="0" xfId="0"/>
    <xf numFmtId="0" fontId="40" fillId="23" borderId="84" pivotButton="0" quotePrefix="0" xfId="0"/>
    <xf numFmtId="0" fontId="40" fillId="23" borderId="74" pivotButton="0" quotePrefix="0" xfId="0"/>
    <xf numFmtId="0" fontId="40" fillId="23" borderId="0" pivotButton="0" quotePrefix="0" xfId="0"/>
    <xf numFmtId="0" fontId="40" fillId="23" borderId="79" pivotButton="0" quotePrefix="0" xfId="0"/>
    <xf numFmtId="0" fontId="40" fillId="23" borderId="85" pivotButton="0" quotePrefix="0" xfId="0"/>
    <xf numFmtId="0" fontId="40" fillId="23" borderId="78" pivotButton="0" quotePrefix="0" xfId="0"/>
    <xf numFmtId="0" fontId="40" fillId="23" borderId="82" pivotButton="0" quotePrefix="0" xfId="0"/>
    <xf numFmtId="0" fontId="40" fillId="23" borderId="81" pivotButton="0" quotePrefix="0" xfId="0"/>
    <xf numFmtId="0" fontId="40" fillId="23" borderId="80" pivotButton="0" quotePrefix="0" xfId="0"/>
    <xf numFmtId="0" fontId="40" fillId="23" borderId="76" pivotButton="0" quotePrefix="0" xfId="0"/>
    <xf numFmtId="0" fontId="0" fillId="23" borderId="0" pivotButton="0" quotePrefix="0" xfId="0"/>
    <xf numFmtId="0" fontId="39" fillId="23" borderId="0" pivotButton="0" quotePrefix="0" xfId="0"/>
  </cellXfs>
  <cellStyles count="6">
    <cellStyle name="Normal" xfId="0" builtinId="0"/>
    <cellStyle name="Porcentaje" xfId="1" builtinId="5"/>
    <cellStyle name="Hipervínculo" xfId="2" builtinId="8" hidden="1"/>
    <cellStyle name="Hipervínculo visitado" xfId="3" builtinId="9" hidden="1"/>
    <cellStyle name="Normal 2" xfId="4"/>
    <cellStyle name="Entrada" xfId="5" builtinId="20"/>
  </cellStyles>
  <dxfs count="4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fgColor auto="1"/>
          <bgColor theme="1" tint="0.499984740745262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'Sprint 1'!$L$44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'Sprint 1'!$M$41:$BT$41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1'!$M$44:$BT$44</f>
              <numCache>
                <formatCode>General</formatCode>
                <ptCount val="60"/>
                <pt idx="0">
                  <v>8</v>
                </pt>
                <pt idx="1">
                  <v>12</v>
                </pt>
                <pt idx="2">
                  <v>8</v>
                </pt>
                <pt idx="3">
                  <v>9</v>
                </pt>
                <pt idx="4">
                  <v>4</v>
                </pt>
                <pt idx="5">
                  <v>1</v>
                </pt>
                <pt idx="6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'Sprint 1'!$L$42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1'!$M$41:$BT$41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1'!$M$42:$BT$42</f>
              <numCache>
                <formatCode>0</formatCode>
                <ptCount val="60"/>
                <pt idx="0">
                  <formatCode>General</formatCode>
                  <v>52</v>
                </pt>
                <pt idx="1">
                  <v>44.57142857142857</v>
                </pt>
                <pt idx="2">
                  <v>37.14285714285714</v>
                </pt>
                <pt idx="3">
                  <v>29.71428571428571</v>
                </pt>
                <pt idx="4">
                  <v>22.28571428571428</v>
                </pt>
                <pt idx="5">
                  <v>14.85714285714285</v>
                </pt>
                <pt idx="6">
                  <v>7.42857142857142</v>
                </pt>
              </numCache>
            </numRef>
          </val>
          <smooth val="0"/>
        </ser>
        <ser>
          <idx val="4"/>
          <order val="2"/>
          <tx>
            <strRef>
              <f>'Sprint 1'!$L$43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1'!$M$41:$BT$41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1'!$M$43:$BT$43</f>
              <numCache>
                <formatCode>General</formatCode>
                <ptCount val="60"/>
                <pt idx="0">
                  <v>52</v>
                </pt>
                <pt idx="1">
                  <v>44</v>
                </pt>
                <pt idx="2">
                  <v>32</v>
                </pt>
                <pt idx="3">
                  <v>24</v>
                </pt>
                <pt idx="4">
                  <v>15</v>
                </pt>
                <pt idx="5">
                  <v>11</v>
                </pt>
                <pt idx="6">
                  <v>10</v>
                </pt>
              </numCache>
            </numRef>
          </val>
          <smooth val="0"/>
        </ser>
        <ser>
          <idx val="5"/>
          <order val="3"/>
          <tx>
            <strRef>
              <f>'Sprint 1'!$L$45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1'!$M$41:$BT$41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1'!$M$45:$BT$45</f>
              <numCache>
                <formatCode>General</formatCode>
                <ptCount val="60"/>
                <pt idx="0">
                  <v>44</v>
                </pt>
                <pt idx="1">
                  <v>32</v>
                </pt>
                <pt idx="2">
                  <v>24</v>
                </pt>
                <pt idx="3">
                  <v>15</v>
                </pt>
                <pt idx="4">
                  <v>11</v>
                </pt>
                <pt idx="5">
                  <v>10</v>
                </pt>
                <pt idx="6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  <max val="52"/>
          <min val="0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50741088"/>
        <crosses val="max"/>
        <crossBetween val="between"/>
      </valAx>
      <date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4800"/>
        <crosses val="autoZero"/>
        <lblOffset val="100"/>
        <baseTimeUnit val="days"/>
      </dateAx>
      <valAx>
        <axId val="1180774800"/>
        <scaling>
          <orientation val="minMax"/>
          <max val="52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/>
          </a:r>
          <a:endParaRPr lang="es-MX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'Sprint 2'!$L$44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'Sprint 2'!$M$41:$BT$41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2'!$M$44:$BT$44</f>
              <numCache>
                <formatCode>General</formatCode>
                <ptCount val="60"/>
                <pt idx="0">
                  <v>0</v>
                </pt>
                <pt idx="1">
                  <v>12</v>
                </pt>
                <pt idx="2">
                  <v>10</v>
                </pt>
                <pt idx="3">
                  <v>4</v>
                </pt>
                <pt idx="4">
                  <v>12</v>
                </pt>
                <pt idx="5">
                  <v>6</v>
                </pt>
                <pt idx="6">
                  <v>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'Sprint 2'!$L$42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2'!$M$41:$BT$41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2'!$M$42:$BT$42</f>
              <numCache>
                <formatCode>0</formatCode>
                <ptCount val="60"/>
                <pt idx="0">
                  <formatCode>General</formatCode>
                  <v>56</v>
                </pt>
                <pt idx="1">
                  <v>48</v>
                </pt>
                <pt idx="2">
                  <v>40</v>
                </pt>
                <pt idx="3">
                  <v>32</v>
                </pt>
                <pt idx="4">
                  <v>24</v>
                </pt>
                <pt idx="5">
                  <v>16</v>
                </pt>
                <pt idx="6">
                  <v>8</v>
                </pt>
              </numCache>
            </numRef>
          </val>
          <smooth val="0"/>
        </ser>
        <ser>
          <idx val="4"/>
          <order val="2"/>
          <tx>
            <strRef>
              <f>'Sprint 2'!$L$43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2'!$M$41:$BT$41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2'!$M$43:$BT$43</f>
              <numCache>
                <formatCode>General</formatCode>
                <ptCount val="60"/>
                <pt idx="0">
                  <v>56</v>
                </pt>
                <pt idx="1">
                  <v>56</v>
                </pt>
                <pt idx="2">
                  <v>44</v>
                </pt>
                <pt idx="3">
                  <v>34</v>
                </pt>
                <pt idx="4">
                  <v>30</v>
                </pt>
                <pt idx="5">
                  <v>18</v>
                </pt>
                <pt idx="6">
                  <v>12</v>
                </pt>
              </numCache>
            </numRef>
          </val>
          <smooth val="0"/>
        </ser>
        <ser>
          <idx val="5"/>
          <order val="3"/>
          <tx>
            <strRef>
              <f>'Sprint 2'!$L$45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2'!$M$41:$BT$41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2'!$M$45:$BT$45</f>
              <numCache>
                <formatCode>General</formatCode>
                <ptCount val="60"/>
                <pt idx="0">
                  <v>56</v>
                </pt>
                <pt idx="1">
                  <v>44</v>
                </pt>
                <pt idx="2">
                  <v>34</v>
                </pt>
                <pt idx="3">
                  <v>30</v>
                </pt>
                <pt idx="4">
                  <v>18</v>
                </pt>
                <pt idx="5">
                  <v>12</v>
                </pt>
                <pt idx="6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  <max val="52"/>
          <min val="0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50741088"/>
        <crosses val="max"/>
        <crossBetween val="between"/>
      </valAx>
      <date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4800"/>
        <crosses val="autoZero"/>
        <lblOffset val="100"/>
        <baseTimeUnit val="days"/>
      </dateAx>
      <valAx>
        <axId val="1180774800"/>
        <scaling>
          <orientation val="minMax"/>
          <max val="52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/>
          </a:r>
          <a:endParaRPr lang="es-MX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'Sprint 3'!$L$38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'Sprint 3'!$M$35:$BT$35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3'!$M$38:$BT$38</f>
              <numCache>
                <formatCode>General</formatCode>
                <ptCount val="60"/>
                <pt idx="0">
                  <v>0</v>
                </pt>
                <pt idx="1">
                  <v>14</v>
                </pt>
                <pt idx="2">
                  <v>10</v>
                </pt>
                <pt idx="3">
                  <v>12</v>
                </pt>
                <pt idx="4">
                  <v>4</v>
                </pt>
                <pt idx="5">
                  <v>2</v>
                </pt>
                <pt idx="6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'Sprint 3'!$L$36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3'!$M$35:$BT$35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3'!$M$36:$BT$36</f>
              <numCache>
                <formatCode>0</formatCode>
                <ptCount val="60"/>
                <pt idx="0">
                  <formatCode>General</formatCode>
                  <v>60</v>
                </pt>
                <pt idx="1">
                  <v>51.42857142857143</v>
                </pt>
                <pt idx="2">
                  <v>42.85714285714286</v>
                </pt>
                <pt idx="3">
                  <v>34.28571428571429</v>
                </pt>
                <pt idx="4">
                  <v>25.71428571428572</v>
                </pt>
                <pt idx="5">
                  <v>17.14285714285715</v>
                </pt>
                <pt idx="6">
                  <v>8.571428571428582</v>
                </pt>
              </numCache>
            </numRef>
          </val>
          <smooth val="0"/>
        </ser>
        <ser>
          <idx val="4"/>
          <order val="2"/>
          <tx>
            <strRef>
              <f>'Sprint 3'!$L$37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3'!$M$35:$BT$35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3'!$M$37:$BT$37</f>
              <numCache>
                <formatCode>General</formatCode>
                <ptCount val="60"/>
                <pt idx="0">
                  <v>60</v>
                </pt>
                <pt idx="1">
                  <v>60</v>
                </pt>
                <pt idx="2">
                  <v>46</v>
                </pt>
                <pt idx="3">
                  <v>36</v>
                </pt>
                <pt idx="4">
                  <v>24</v>
                </pt>
                <pt idx="5">
                  <v>20</v>
                </pt>
                <pt idx="6">
                  <v>18</v>
                </pt>
              </numCache>
            </numRef>
          </val>
          <smooth val="0"/>
        </ser>
        <ser>
          <idx val="5"/>
          <order val="3"/>
          <tx>
            <strRef>
              <f>'Sprint 3'!$L$39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3'!$M$35:$BT$35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3'!$M$39:$BT$39</f>
              <numCache>
                <formatCode>General</formatCode>
                <ptCount val="60"/>
                <pt idx="0">
                  <v>60</v>
                </pt>
                <pt idx="1">
                  <v>46</v>
                </pt>
                <pt idx="2">
                  <v>36</v>
                </pt>
                <pt idx="3">
                  <v>24</v>
                </pt>
                <pt idx="4">
                  <v>20</v>
                </pt>
                <pt idx="5">
                  <v>18</v>
                </pt>
                <pt idx="6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  <max val="52"/>
          <min val="0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50741088"/>
        <crosses val="max"/>
        <crossBetween val="between"/>
      </valAx>
      <date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4800"/>
        <crosses val="autoZero"/>
        <lblOffset val="100"/>
        <baseTimeUnit val="days"/>
      </dateAx>
      <valAx>
        <axId val="1180774800"/>
        <scaling>
          <orientation val="minMax"/>
          <max val="52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/>
          </a:r>
          <a:endParaRPr lang="es-MX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'Sprint 4'!$L$46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'Sprint 4'!$M$43:$BT$43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4'!$M$46:$BT$46</f>
              <numCache>
                <formatCode>General</formatCode>
                <ptCount val="60"/>
                <pt idx="0">
                  <v>6</v>
                </pt>
                <pt idx="1">
                  <v>4</v>
                </pt>
                <pt idx="2">
                  <v>6</v>
                </pt>
                <pt idx="3">
                  <v>8</v>
                </pt>
                <pt idx="4">
                  <v>4</v>
                </pt>
                <pt idx="5">
                  <v>12</v>
                </pt>
                <pt idx="6">
                  <v>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'Sprint 4'!$L$44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4'!$M$43:$BT$43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4'!$M$44:$BT$44</f>
              <numCache>
                <formatCode>0</formatCode>
                <ptCount val="60"/>
                <pt idx="0">
                  <formatCode>General</formatCode>
                  <v>52</v>
                </pt>
                <pt idx="1">
                  <v>44.57142857142857</v>
                </pt>
                <pt idx="2">
                  <v>37.14285714285714</v>
                </pt>
                <pt idx="3">
                  <v>29.71428571428571</v>
                </pt>
                <pt idx="4">
                  <v>22.28571428571428</v>
                </pt>
                <pt idx="5">
                  <v>14.85714285714285</v>
                </pt>
                <pt idx="6">
                  <v>7.42857142857142</v>
                </pt>
              </numCache>
            </numRef>
          </val>
          <smooth val="0"/>
        </ser>
        <ser>
          <idx val="4"/>
          <order val="2"/>
          <tx>
            <strRef>
              <f>'Sprint 4'!$L$45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4'!$M$43:$BT$43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4'!$M$45:$BT$45</f>
              <numCache>
                <formatCode>General</formatCode>
                <ptCount val="60"/>
                <pt idx="0">
                  <v>52</v>
                </pt>
                <pt idx="1">
                  <v>46</v>
                </pt>
                <pt idx="2">
                  <v>42</v>
                </pt>
                <pt idx="3">
                  <v>36</v>
                </pt>
                <pt idx="4">
                  <v>28</v>
                </pt>
                <pt idx="5">
                  <v>24</v>
                </pt>
                <pt idx="6">
                  <v>12</v>
                </pt>
              </numCache>
            </numRef>
          </val>
          <smooth val="0"/>
        </ser>
        <ser>
          <idx val="5"/>
          <order val="3"/>
          <tx>
            <strRef>
              <f>'Sprint 4'!$L$47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4'!$M$43:$BT$43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4'!$M$47:$BT$47</f>
              <numCache>
                <formatCode>General</formatCode>
                <ptCount val="60"/>
                <pt idx="0">
                  <v>46</v>
                </pt>
                <pt idx="1">
                  <v>42</v>
                </pt>
                <pt idx="2">
                  <v>36</v>
                </pt>
                <pt idx="3">
                  <v>28</v>
                </pt>
                <pt idx="4">
                  <v>24</v>
                </pt>
                <pt idx="5">
                  <v>12</v>
                </pt>
                <pt idx="6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  <max val="52"/>
          <min val="0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50741088"/>
        <crosses val="max"/>
        <crossBetween val="between"/>
      </valAx>
      <date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4800"/>
        <crosses val="autoZero"/>
        <lblOffset val="100"/>
        <baseTimeUnit val="days"/>
      </dateAx>
      <valAx>
        <axId val="1180774800"/>
        <scaling>
          <orientation val="minMax"/>
          <max val="52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/>
          </a:r>
          <a:endParaRPr lang="es-MX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'Sprint 5'!$L$30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'Sprint 5'!$M$27:$BT$27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'Sprint 5'!$M$30:$BT$30</f>
              <numCache>
                <formatCode>General</formatCode>
                <ptCount val="60"/>
                <pt idx="0">
                  <v>12</v>
                </pt>
                <pt idx="1">
                  <v>10</v>
                </pt>
                <pt idx="2">
                  <v>11</v>
                </pt>
                <pt idx="3">
                  <v>3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'Sprint 5'!$L$28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5'!$M$27:$BT$27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'Sprint 5'!$M$28:$BT$28</f>
              <numCache>
                <formatCode>0</formatCode>
                <ptCount val="60"/>
                <pt idx="0">
                  <formatCode>General</formatCode>
                  <v>36</v>
                </pt>
                <pt idx="1">
                  <v>28.8</v>
                </pt>
                <pt idx="2">
                  <v>21.6</v>
                </pt>
                <pt idx="3">
                  <v>14.4</v>
                </pt>
                <pt idx="4">
                  <v>7.200000000000002</v>
                </pt>
              </numCache>
            </numRef>
          </val>
          <smooth val="0"/>
        </ser>
        <ser>
          <idx val="4"/>
          <order val="2"/>
          <tx>
            <strRef>
              <f>'Sprint 5'!$L$29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5'!$M$27:$BT$27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'Sprint 5'!$M$29:$BT$29</f>
              <numCache>
                <formatCode>General</formatCode>
                <ptCount val="60"/>
                <pt idx="0">
                  <v>36</v>
                </pt>
                <pt idx="1">
                  <v>24</v>
                </pt>
                <pt idx="2">
                  <v>14</v>
                </pt>
                <pt idx="3">
                  <v>3</v>
                </pt>
                <pt idx="4">
                  <v>0</v>
                </pt>
              </numCache>
            </numRef>
          </val>
          <smooth val="0"/>
        </ser>
        <ser>
          <idx val="5"/>
          <order val="3"/>
          <tx>
            <strRef>
              <f>'Sprint 5'!$L$31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5'!$M$27:$BT$27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'Sprint 5'!$M$31:$BT$31</f>
              <numCache>
                <formatCode>General</formatCode>
                <ptCount val="60"/>
                <pt idx="0">
                  <v>24</v>
                </pt>
                <pt idx="1">
                  <v>14</v>
                </pt>
                <pt idx="2">
                  <v>3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  <max val="36"/>
          <min val="0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50741088"/>
        <crosses val="max"/>
        <crossBetween val="between"/>
      </valAx>
      <date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4800"/>
        <crosses val="autoZero"/>
        <lblOffset val="100"/>
        <baseTimeUnit val="days"/>
        <majorUnit val="1"/>
        <majorTimeUnit val="days"/>
        <minorUnit val="1"/>
        <minorTimeUnit val="days"/>
      </dateAx>
      <valAx>
        <axId val="1180774800"/>
        <scaling>
          <orientation val="minMax"/>
          <max val="36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/>
          </a:r>
          <a:endParaRPr lang="es-MX"/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'a de Gantt en blanco y burndown'!$L$38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 de Gantt en blanco y burndown'!$M$35:$BT$35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'a de Gantt en blanco y burndown'!$M$38:$BT$38</f>
              <numCache>
                <formatCode>General</formatCode>
                <ptCount val="6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'a de Gantt en blanco y burndown'!$L$36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 de Gantt en blanco y burndown'!$M$35:$BT$35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'a de Gantt en blanco y burndown'!$M$36:$BT$36</f>
              <numCache>
                <formatCode>0</formatCode>
                <ptCount val="60"/>
                <pt idx="0">
                  <formatCode>General</formatCode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4"/>
          <order val="2"/>
          <tx>
            <strRef>
              <f>'a de Gantt en blanco y burndown'!$L$37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 de Gantt en blanco y burndown'!$M$35:$BT$35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'a de Gantt en blanco y burndown'!$M$37:$BT$37</f>
              <numCache>
                <formatCode>General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5"/>
          <order val="3"/>
          <tx>
            <strRef>
              <f>'a de Gantt en blanco y burndown'!$L$39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 de Gantt en blanco y burndown'!$M$35:$BT$35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'a de Gantt en blanco y burndown'!$M$39:$BT$39</f>
              <numCache>
                <formatCode>General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50741088"/>
        <crosses val="max"/>
        <crossBetween val="between"/>
      </valAx>
      <cat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4800"/>
        <crosses val="autoZero"/>
        <auto val="1"/>
        <lblAlgn val="ctr"/>
        <lblOffset val="100"/>
        <noMultiLvlLbl val="0"/>
      </catAx>
      <valAx>
        <axId val="11807748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/>
          </a:r>
          <a:endParaRPr lang="es-MX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>
    <from>
      <col>1</col>
      <colOff>55770</colOff>
      <row>46</row>
      <rowOff>133351</rowOff>
    </from>
    <to>
      <col>20</col>
      <colOff>119269</colOff>
      <row>47</row>
      <rowOff>1990725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</col>
      <colOff>55770</colOff>
      <row>46</row>
      <rowOff>133351</rowOff>
    </from>
    <to>
      <col>20</col>
      <colOff>119269</colOff>
      <row>47</row>
      <rowOff>1990725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</col>
      <colOff>55770</colOff>
      <row>40</row>
      <rowOff>133351</rowOff>
    </from>
    <to>
      <col>20</col>
      <colOff>119269</colOff>
      <row>41</row>
      <rowOff>1990725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</col>
      <colOff>55770</colOff>
      <row>48</row>
      <rowOff>133351</rowOff>
    </from>
    <to>
      <col>20</col>
      <colOff>119269</colOff>
      <row>49</row>
      <rowOff>1990725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</col>
      <colOff>55770</colOff>
      <row>32</row>
      <rowOff>133351</rowOff>
    </from>
    <to>
      <col>20</col>
      <colOff>119269</colOff>
      <row>33</row>
      <rowOff>1990725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203200</colOff>
      <row>40</row>
      <rowOff>0</rowOff>
    </from>
    <to>
      <col>72</col>
      <colOff>127000</colOff>
      <row>41</row>
      <rowOff>2705100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IC-Office-Work-Schedule-Template16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ffice Work Schedul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 codeName="Sheet1">
    <tabColor theme="3"/>
    <outlinePr summaryBelow="1" summaryRight="1"/>
    <pageSetUpPr fitToPage="1"/>
  </sheetPr>
  <dimension ref="A1:BV50"/>
  <sheetViews>
    <sheetView showGridLines="0" zoomScale="145" zoomScaleNormal="145" zoomScalePageLayoutView="70" workbookViewId="0">
      <pane ySplit="1" topLeftCell="A20" activePane="bottomLeft" state="frozen"/>
      <selection pane="bottomLeft" activeCell="C15" sqref="C15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34.37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5" customWidth="1" style="241" min="74" max="74"/>
    <col width="3.25" customWidth="1" style="240" min="75" max="75"/>
  </cols>
  <sheetData>
    <row r="1" ht="45" customHeight="1" s="240">
      <c r="A1" s="31" t="n"/>
      <c r="B1" s="32" t="inlineStr">
        <is>
          <t>Implementación de sistema de visión por computadora con CNN para diagnóstico de enfermedades en hojas de cultivos andinos en comunidades de Cusco</t>
        </is>
      </c>
      <c r="C1" s="33" t="n"/>
      <c r="D1" s="33" t="n"/>
      <c r="E1" s="33" t="n"/>
      <c r="F1" s="33" t="n"/>
      <c r="G1" s="33" t="n"/>
      <c r="H1" s="33" t="n"/>
      <c r="I1" s="33" t="n"/>
      <c r="J1" s="34" t="n"/>
      <c r="K1" s="34" t="n"/>
      <c r="L1" s="34" t="n"/>
      <c r="M1" s="34" t="n"/>
      <c r="N1" s="34" t="n"/>
      <c r="O1" s="34" t="n"/>
      <c r="P1" s="34" t="n"/>
    </row>
    <row r="2" ht="35.1" customFormat="1" customHeight="1" s="241" thickBot="1">
      <c r="B2" s="106" t="n"/>
      <c r="C2" s="37" t="n"/>
      <c r="D2" s="37" t="n"/>
      <c r="E2" s="37" t="n"/>
      <c r="F2" s="36" t="n"/>
      <c r="G2" s="37" t="n"/>
      <c r="H2" s="37" t="n"/>
      <c r="I2" s="37" t="n"/>
      <c r="J2" s="37" t="n"/>
      <c r="K2" s="37" t="n"/>
      <c r="L2" s="37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5" t="inlineStr">
        <is>
          <t>SPRINTS</t>
        </is>
      </c>
      <c r="L3" s="42" t="inlineStr">
        <is>
          <t>SPRINT 1</t>
        </is>
      </c>
      <c r="M3" s="43" t="n"/>
      <c r="N3" s="43" t="n"/>
      <c r="O3" s="43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6" t="n"/>
      <c r="BU3" s="38" t="n"/>
      <c r="BV3" s="39" t="n"/>
    </row>
    <row r="4" ht="23.1" customHeight="1" s="240"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246" t="n"/>
      <c r="L4" s="47" t="inlineStr">
        <is>
          <t>SPRINT 2</t>
        </is>
      </c>
      <c r="M4" s="48" t="n"/>
      <c r="N4" s="48" t="n"/>
      <c r="O4" s="48" t="n"/>
      <c r="P4" s="49" t="n"/>
      <c r="Q4" s="49" t="n"/>
      <c r="R4" s="49" t="n"/>
      <c r="S4" s="49" t="n"/>
      <c r="T4" s="49" t="n"/>
      <c r="U4" s="49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2" t="inlineStr">
        <is>
          <t>SPRINT 3</t>
        </is>
      </c>
      <c r="M5" s="48" t="n"/>
      <c r="N5" s="48" t="n"/>
      <c r="O5" s="48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6" t="n"/>
      <c r="L6" s="54" t="inlineStr">
        <is>
          <t>SPRINT 4</t>
        </is>
      </c>
      <c r="M6" s="48" t="n"/>
      <c r="N6" s="48" t="n"/>
      <c r="O6" s="48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 thickBot="1">
      <c r="B7" s="36" t="n"/>
      <c r="C7" s="37" t="n"/>
      <c r="D7" s="37" t="n"/>
      <c r="E7" s="37" t="n"/>
      <c r="F7" s="37" t="n"/>
      <c r="G7" s="37" t="n"/>
      <c r="H7" s="37" t="n"/>
      <c r="I7" s="36" t="n"/>
      <c r="J7" s="37" t="n"/>
      <c r="K7" s="247" t="n"/>
      <c r="L7" s="56" t="inlineStr">
        <is>
          <t>SPRINT 5</t>
        </is>
      </c>
      <c r="M7" s="48" t="n"/>
      <c r="N7" s="48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51" t="n"/>
      <c r="BU7" s="38" t="n"/>
      <c r="BV7" s="39" t="n"/>
    </row>
    <row r="8" ht="23.1" customHeight="1" s="240">
      <c r="B8" s="262" t="inlineStr">
        <is>
          <t>ESTRUCTURA DE DESGLOSE DEL TRABAJO</t>
        </is>
      </c>
      <c r="C8" s="270" t="inlineStr">
        <is>
          <t>TÍTULO DE LA TAREA</t>
        </is>
      </c>
      <c r="D8" s="266" t="inlineStr">
        <is>
          <t>PROPIETARIO DE LA TAREA</t>
        </is>
      </c>
      <c r="E8" s="242" t="inlineStr">
        <is>
          <t>CANTIDAD DE TRABAJO EN HORAS</t>
        </is>
      </c>
      <c r="F8" s="243" t="n"/>
      <c r="G8" s="244" t="n"/>
      <c r="H8" s="264" t="inlineStr">
        <is>
          <t>CARRERA</t>
        </is>
      </c>
      <c r="I8" s="268" t="inlineStr">
        <is>
          <t>FECHA DE INICIO</t>
        </is>
      </c>
      <c r="J8" s="269" t="inlineStr">
        <is>
          <t>FECHA DE VENCIMIENTO</t>
        </is>
      </c>
      <c r="K8" s="248" t="inlineStr">
        <is>
          <t>DURACIÓN</t>
        </is>
      </c>
      <c r="L8" s="250" t="inlineStr">
        <is>
          <t>PCT DE TAREA COMPLETADA</t>
        </is>
      </c>
      <c r="M8" s="252" t="inlineStr">
        <is>
          <t>SEMANA 1</t>
        </is>
      </c>
      <c r="N8" s="253" t="n"/>
      <c r="O8" s="253" t="n"/>
      <c r="P8" s="253" t="n"/>
      <c r="Q8" s="254" t="n"/>
      <c r="R8" s="255" t="inlineStr">
        <is>
          <t>SEMANA 2</t>
        </is>
      </c>
      <c r="S8" s="253" t="n"/>
      <c r="T8" s="253" t="n"/>
      <c r="U8" s="253" t="n"/>
      <c r="V8" s="254" t="n"/>
      <c r="W8" s="255" t="inlineStr">
        <is>
          <t>SEMANA 3</t>
        </is>
      </c>
      <c r="X8" s="253" t="n"/>
      <c r="Y8" s="253" t="n"/>
      <c r="Z8" s="253" t="n"/>
      <c r="AA8" s="254" t="n"/>
      <c r="AB8" s="257" t="inlineStr">
        <is>
          <t>SEMANA 4</t>
        </is>
      </c>
      <c r="AC8" s="253" t="n"/>
      <c r="AD8" s="253" t="n"/>
      <c r="AE8" s="253" t="n"/>
      <c r="AF8" s="254" t="n"/>
      <c r="AG8" s="258" t="inlineStr">
        <is>
          <t>SEMANA 5</t>
        </is>
      </c>
      <c r="AH8" s="253" t="n"/>
      <c r="AI8" s="253" t="n"/>
      <c r="AJ8" s="253" t="n"/>
      <c r="AK8" s="254" t="n"/>
      <c r="AL8" s="258" t="inlineStr">
        <is>
          <t>SEMANA 6</t>
        </is>
      </c>
      <c r="AM8" s="253" t="n"/>
      <c r="AN8" s="253" t="n"/>
      <c r="AO8" s="253" t="n"/>
      <c r="AP8" s="254" t="n"/>
      <c r="AQ8" s="256" t="inlineStr">
        <is>
          <t>SEMANA 7</t>
        </is>
      </c>
      <c r="AR8" s="253" t="n"/>
      <c r="AS8" s="253" t="n"/>
      <c r="AT8" s="253" t="n"/>
      <c r="AU8" s="254" t="n"/>
      <c r="AV8" s="259" t="inlineStr">
        <is>
          <t>SEMANA 8</t>
        </is>
      </c>
      <c r="AW8" s="253" t="n"/>
      <c r="AX8" s="253" t="n"/>
      <c r="AY8" s="253" t="n"/>
      <c r="AZ8" s="254" t="n"/>
      <c r="BA8" s="259" t="inlineStr">
        <is>
          <t>SEMANA 9</t>
        </is>
      </c>
      <c r="BB8" s="253" t="n"/>
      <c r="BC8" s="253" t="n"/>
      <c r="BD8" s="253" t="n"/>
      <c r="BE8" s="254" t="n"/>
      <c r="BF8" s="260" t="inlineStr">
        <is>
          <t>SEMANA 10</t>
        </is>
      </c>
      <c r="BG8" s="253" t="n"/>
      <c r="BH8" s="253" t="n"/>
      <c r="BI8" s="253" t="n"/>
      <c r="BJ8" s="254" t="n"/>
      <c r="BK8" s="261" t="n"/>
      <c r="BL8" s="253" t="n"/>
      <c r="BM8" s="253" t="n"/>
      <c r="BN8" s="253" t="n"/>
      <c r="BO8" s="254" t="n"/>
      <c r="BP8" s="261" t="n"/>
      <c r="BQ8" s="253" t="n"/>
      <c r="BR8" s="253" t="n"/>
      <c r="BS8" s="253" t="n"/>
      <c r="BT8" s="254" t="n"/>
      <c r="BU8" s="38" t="n"/>
      <c r="BV8" s="39" t="n"/>
    </row>
    <row r="9" ht="23.1" customHeight="1" s="240" thickBot="1">
      <c r="B9" s="263" t="n"/>
      <c r="C9" s="271" t="n"/>
      <c r="D9" s="267" t="n"/>
      <c r="E9" s="58" t="inlineStr">
        <is>
          <t>ESTIMAR</t>
        </is>
      </c>
      <c r="F9" s="59" t="inlineStr">
        <is>
          <t>COMPLETADO</t>
        </is>
      </c>
      <c r="G9" s="60" t="inlineStr">
        <is>
          <t>RESTANTE</t>
        </is>
      </c>
      <c r="H9" s="265" t="n"/>
      <c r="I9" s="254" t="n"/>
      <c r="J9" s="249" t="n"/>
      <c r="K9" s="249" t="n"/>
      <c r="L9" s="251" t="n"/>
      <c r="M9" s="61" t="inlineStr">
        <is>
          <t>M</t>
        </is>
      </c>
      <c r="N9" s="62" t="inlineStr">
        <is>
          <t>T</t>
        </is>
      </c>
      <c r="O9" s="62" t="inlineStr">
        <is>
          <t>W</t>
        </is>
      </c>
      <c r="P9" s="62" t="inlineStr">
        <is>
          <t>R</t>
        </is>
      </c>
      <c r="Q9" s="62" t="inlineStr">
        <is>
          <t>F</t>
        </is>
      </c>
      <c r="R9" s="62" t="inlineStr">
        <is>
          <t>M</t>
        </is>
      </c>
      <c r="S9" s="62" t="inlineStr">
        <is>
          <t>T</t>
        </is>
      </c>
      <c r="T9" s="62" t="inlineStr">
        <is>
          <t>W</t>
        </is>
      </c>
      <c r="U9" s="62" t="inlineStr">
        <is>
          <t>R</t>
        </is>
      </c>
      <c r="V9" s="62" t="inlineStr">
        <is>
          <t>F</t>
        </is>
      </c>
      <c r="W9" s="62" t="inlineStr">
        <is>
          <t>M</t>
        </is>
      </c>
      <c r="X9" s="62" t="inlineStr">
        <is>
          <t>T</t>
        </is>
      </c>
      <c r="Y9" s="62" t="inlineStr">
        <is>
          <t>W</t>
        </is>
      </c>
      <c r="Z9" s="62" t="inlineStr">
        <is>
          <t>R</t>
        </is>
      </c>
      <c r="AA9" s="63" t="inlineStr">
        <is>
          <t>F</t>
        </is>
      </c>
      <c r="AB9" s="64" t="inlineStr">
        <is>
          <t>M</t>
        </is>
      </c>
      <c r="AC9" s="65" t="inlineStr">
        <is>
          <t>T</t>
        </is>
      </c>
      <c r="AD9" s="65" t="inlineStr">
        <is>
          <t>W</t>
        </is>
      </c>
      <c r="AE9" s="65" t="inlineStr">
        <is>
          <t>R</t>
        </is>
      </c>
      <c r="AF9" s="65" t="inlineStr">
        <is>
          <t>F</t>
        </is>
      </c>
      <c r="AG9" s="65" t="inlineStr">
        <is>
          <t>M</t>
        </is>
      </c>
      <c r="AH9" s="65" t="inlineStr">
        <is>
          <t>T</t>
        </is>
      </c>
      <c r="AI9" s="65" t="inlineStr">
        <is>
          <t>W</t>
        </is>
      </c>
      <c r="AJ9" s="65" t="inlineStr">
        <is>
          <t>R</t>
        </is>
      </c>
      <c r="AK9" s="65" t="inlineStr">
        <is>
          <t>F</t>
        </is>
      </c>
      <c r="AL9" s="65" t="inlineStr">
        <is>
          <t>M</t>
        </is>
      </c>
      <c r="AM9" s="65" t="inlineStr">
        <is>
          <t>T</t>
        </is>
      </c>
      <c r="AN9" s="65" t="inlineStr">
        <is>
          <t>W</t>
        </is>
      </c>
      <c r="AO9" s="65" t="inlineStr">
        <is>
          <t>R</t>
        </is>
      </c>
      <c r="AP9" s="66" t="inlineStr">
        <is>
          <t>F</t>
        </is>
      </c>
      <c r="AQ9" s="67" t="inlineStr">
        <is>
          <t>M</t>
        </is>
      </c>
      <c r="AR9" s="68" t="inlineStr">
        <is>
          <t>T</t>
        </is>
      </c>
      <c r="AS9" s="68" t="inlineStr">
        <is>
          <t>W</t>
        </is>
      </c>
      <c r="AT9" s="68" t="inlineStr">
        <is>
          <t>R</t>
        </is>
      </c>
      <c r="AU9" s="68" t="inlineStr">
        <is>
          <t>F</t>
        </is>
      </c>
      <c r="AV9" s="68" t="inlineStr">
        <is>
          <t>M</t>
        </is>
      </c>
      <c r="AW9" s="68" t="inlineStr">
        <is>
          <t>T</t>
        </is>
      </c>
      <c r="AX9" s="68" t="inlineStr">
        <is>
          <t>W</t>
        </is>
      </c>
      <c r="AY9" s="68" t="inlineStr">
        <is>
          <t>R</t>
        </is>
      </c>
      <c r="AZ9" s="68" t="inlineStr">
        <is>
          <t>F</t>
        </is>
      </c>
      <c r="BA9" s="68" t="inlineStr">
        <is>
          <t>M</t>
        </is>
      </c>
      <c r="BB9" s="68" t="inlineStr">
        <is>
          <t>T</t>
        </is>
      </c>
      <c r="BC9" s="68" t="inlineStr">
        <is>
          <t>W</t>
        </is>
      </c>
      <c r="BD9" s="68" t="inlineStr">
        <is>
          <t>R</t>
        </is>
      </c>
      <c r="BE9" s="69" t="inlineStr">
        <is>
          <t>F</t>
        </is>
      </c>
      <c r="BF9" s="70" t="inlineStr">
        <is>
          <t>M</t>
        </is>
      </c>
      <c r="BG9" s="71" t="inlineStr">
        <is>
          <t>T</t>
        </is>
      </c>
      <c r="BH9" s="71" t="inlineStr">
        <is>
          <t>W</t>
        </is>
      </c>
      <c r="BI9" s="71" t="inlineStr">
        <is>
          <t>R</t>
        </is>
      </c>
      <c r="BJ9" s="71" t="inlineStr">
        <is>
          <t>F</t>
        </is>
      </c>
      <c r="BK9" s="188" t="n"/>
      <c r="BL9" s="188" t="n"/>
      <c r="BM9" s="188" t="n"/>
      <c r="BN9" s="188" t="n"/>
      <c r="BO9" s="188" t="n"/>
      <c r="BP9" s="188" t="n"/>
      <c r="BQ9" s="188" t="n"/>
      <c r="BR9" s="188" t="n"/>
      <c r="BS9" s="188" t="n"/>
      <c r="BT9" s="189" t="n"/>
      <c r="BU9" s="38" t="n"/>
      <c r="BV9" s="39" t="n"/>
    </row>
    <row r="10" ht="23.1" customHeight="1" s="240" thickTop="1">
      <c r="B10" s="202" t="n">
        <v>1</v>
      </c>
      <c r="C10" s="203" t="inlineStr">
        <is>
          <t>HU-1: Configuración del entorno (8h)</t>
        </is>
      </c>
      <c r="D10" s="204" t="n"/>
      <c r="E10" s="197">
        <f>SUM(E11:E14)</f>
        <v/>
      </c>
      <c r="F10" s="198">
        <f>SUM(F11:F14)</f>
        <v/>
      </c>
      <c r="G10" s="199">
        <f>SUM(G11:G14)</f>
        <v/>
      </c>
      <c r="H10" s="205" t="n"/>
      <c r="I10" s="206" t="n">
        <v>46278</v>
      </c>
      <c r="J10" s="206" t="n">
        <v>46284</v>
      </c>
      <c r="K10" s="207">
        <f>J10-I10+1</f>
        <v/>
      </c>
      <c r="L10" s="201">
        <f>IFERROR(F10/E10,"")</f>
        <v/>
      </c>
      <c r="M10" s="73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5" t="n"/>
      <c r="AB10" s="73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5" t="n"/>
      <c r="AQ10" s="73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5" t="n"/>
      <c r="BF10" s="73" t="n"/>
      <c r="BG10" s="74" t="n"/>
      <c r="BH10" s="74" t="n"/>
      <c r="BI10" s="74" t="n"/>
      <c r="BJ10" s="74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81" t="n"/>
      <c r="BU10" s="38" t="n"/>
      <c r="BV10" s="39" t="n"/>
    </row>
    <row r="11" ht="23.1" customHeight="1" s="240">
      <c r="B11" s="150" t="inlineStr">
        <is>
          <t>1.1</t>
        </is>
      </c>
      <c r="C11" s="193" t="inlineStr">
        <is>
          <t>Instalar Python y librerías necesarias</t>
        </is>
      </c>
      <c r="D11" s="152" t="inlineStr">
        <is>
          <t>Alejandro</t>
        </is>
      </c>
      <c r="E11" s="153" t="n">
        <v>4</v>
      </c>
      <c r="F11" s="154" t="n">
        <v>4</v>
      </c>
      <c r="G11" s="155">
        <f>E11-F11</f>
        <v/>
      </c>
      <c r="H11" s="156" t="n"/>
      <c r="I11" s="211" t="n"/>
      <c r="J11" s="211" t="n"/>
      <c r="K11" s="213" t="n"/>
      <c r="L11" s="201">
        <f>IFERROR(F11/E11,"")</f>
        <v/>
      </c>
      <c r="M11" s="77" t="n"/>
      <c r="N11" s="78" t="n"/>
      <c r="O11" s="78" t="n"/>
      <c r="P11" s="78" t="n"/>
      <c r="Q11" s="79" t="n"/>
      <c r="R11" s="79" t="n"/>
      <c r="S11" s="79" t="n"/>
      <c r="T11" s="79" t="n"/>
      <c r="U11" s="80" t="n"/>
      <c r="V11" s="80" t="n"/>
      <c r="W11" s="78" t="n"/>
      <c r="X11" s="78" t="n"/>
      <c r="Y11" s="78" t="n"/>
      <c r="Z11" s="78" t="n"/>
      <c r="AA11" s="81" t="n"/>
      <c r="AB11" s="77" t="n"/>
      <c r="AC11" s="78" t="n"/>
      <c r="AD11" s="78" t="n"/>
      <c r="AE11" s="78" t="n"/>
      <c r="AF11" s="78" t="n"/>
      <c r="AG11" s="82" t="n"/>
      <c r="AH11" s="82" t="n"/>
      <c r="AI11" s="82" t="n"/>
      <c r="AJ11" s="82" t="n"/>
      <c r="AK11" s="82" t="n"/>
      <c r="AL11" s="78" t="n"/>
      <c r="AM11" s="78" t="n"/>
      <c r="AN11" s="78" t="n"/>
      <c r="AO11" s="78" t="n"/>
      <c r="AP11" s="81" t="n"/>
      <c r="AQ11" s="77" t="n"/>
      <c r="AR11" s="78" t="n"/>
      <c r="AS11" s="78" t="n"/>
      <c r="AT11" s="78" t="n"/>
      <c r="AU11" s="78" t="n"/>
      <c r="AV11" s="83" t="n"/>
      <c r="AW11" s="83" t="n"/>
      <c r="AX11" s="83" t="n"/>
      <c r="AY11" s="83" t="n"/>
      <c r="AZ11" s="83" t="n"/>
      <c r="BA11" s="78" t="n"/>
      <c r="BB11" s="78" t="n"/>
      <c r="BC11" s="78" t="n"/>
      <c r="BD11" s="78" t="n"/>
      <c r="BE11" s="81" t="n"/>
      <c r="BF11" s="77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81" t="n"/>
      <c r="BU11" s="38" t="n"/>
      <c r="BV11" s="39" t="n"/>
    </row>
    <row r="12" ht="23.1" customHeight="1" s="240">
      <c r="B12" s="150" t="inlineStr">
        <is>
          <t>1.2</t>
        </is>
      </c>
      <c r="C12" s="193" t="inlineStr">
        <is>
          <t>Verificar compatibilidad con GPU.</t>
        </is>
      </c>
      <c r="D12" s="152" t="inlineStr">
        <is>
          <t>Alejandro</t>
        </is>
      </c>
      <c r="E12" s="153" t="n">
        <v>2</v>
      </c>
      <c r="F12" s="154" t="n">
        <v>2</v>
      </c>
      <c r="G12" s="155">
        <f>E12-F12</f>
        <v/>
      </c>
      <c r="H12" s="163" t="n"/>
      <c r="I12" s="211" t="n"/>
      <c r="J12" s="211" t="n"/>
      <c r="K12" s="213" t="n"/>
      <c r="L12" s="201">
        <f>IFERROR(F12/E12,"")</f>
        <v/>
      </c>
      <c r="M12" s="77" t="n"/>
      <c r="N12" s="78" t="n"/>
      <c r="O12" s="78" t="n"/>
      <c r="P12" s="78" t="n"/>
      <c r="Q12" s="78" t="n"/>
      <c r="R12" s="80" t="n"/>
      <c r="S12" s="80" t="n"/>
      <c r="T12" s="79" t="n"/>
      <c r="U12" s="79" t="n"/>
      <c r="V12" s="80" t="n"/>
      <c r="W12" s="78" t="n"/>
      <c r="X12" s="78" t="n"/>
      <c r="Y12" s="78" t="n"/>
      <c r="Z12" s="78" t="n"/>
      <c r="AA12" s="81" t="n"/>
      <c r="AB12" s="77" t="n"/>
      <c r="AC12" s="78" t="n"/>
      <c r="AD12" s="78" t="n"/>
      <c r="AE12" s="78" t="n"/>
      <c r="AF12" s="78" t="n"/>
      <c r="AG12" s="82" t="n"/>
      <c r="AH12" s="82" t="n"/>
      <c r="AI12" s="82" t="n"/>
      <c r="AJ12" s="82" t="n"/>
      <c r="AK12" s="82" t="n"/>
      <c r="AL12" s="78" t="n"/>
      <c r="AM12" s="78" t="n"/>
      <c r="AN12" s="78" t="n"/>
      <c r="AO12" s="78" t="n"/>
      <c r="AP12" s="81" t="n"/>
      <c r="AQ12" s="77" t="n"/>
      <c r="AR12" s="78" t="n"/>
      <c r="AS12" s="78" t="n"/>
      <c r="AT12" s="78" t="n"/>
      <c r="AU12" s="78" t="n"/>
      <c r="AV12" s="83" t="n"/>
      <c r="AW12" s="83" t="n"/>
      <c r="AX12" s="83" t="n"/>
      <c r="AY12" s="83" t="n"/>
      <c r="AZ12" s="83" t="n"/>
      <c r="BA12" s="78" t="n"/>
      <c r="BB12" s="78" t="n"/>
      <c r="BC12" s="78" t="n"/>
      <c r="BD12" s="78" t="n"/>
      <c r="BE12" s="81" t="n"/>
      <c r="BF12" s="77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81" t="n"/>
      <c r="BU12" s="38" t="n"/>
      <c r="BV12" s="39" t="n"/>
    </row>
    <row r="13" ht="23.1" customHeight="1" s="240">
      <c r="B13" s="150" t="inlineStr">
        <is>
          <t>1.3</t>
        </is>
      </c>
      <c r="C13" s="193" t="inlineStr">
        <is>
          <t>Configurar entorno virtual.</t>
        </is>
      </c>
      <c r="D13" s="152" t="inlineStr">
        <is>
          <t>Alejandro</t>
        </is>
      </c>
      <c r="E13" s="153" t="n">
        <v>1</v>
      </c>
      <c r="F13" s="154" t="n">
        <v>1</v>
      </c>
      <c r="G13" s="155">
        <f>E13-F13</f>
        <v/>
      </c>
      <c r="H13" s="156" t="n"/>
      <c r="I13" s="211" t="n"/>
      <c r="J13" s="211" t="n"/>
      <c r="K13" s="213" t="n"/>
      <c r="L13" s="201">
        <f>IFERROR(F13/E13,"")</f>
        <v/>
      </c>
      <c r="M13" s="77" t="n"/>
      <c r="N13" s="78" t="n"/>
      <c r="O13" s="78" t="n"/>
      <c r="P13" s="78" t="n"/>
      <c r="Q13" s="78" t="n"/>
      <c r="R13" s="80" t="n"/>
      <c r="S13" s="80" t="n"/>
      <c r="T13" s="79" t="n"/>
      <c r="U13" s="79" t="n"/>
      <c r="V13" s="79" t="n"/>
      <c r="W13" s="79" t="n"/>
      <c r="X13" s="79" t="n"/>
      <c r="Y13" s="79" t="n"/>
      <c r="Z13" s="79" t="n"/>
      <c r="AA13" s="81" t="n"/>
      <c r="AB13" s="77" t="n"/>
      <c r="AC13" s="78" t="n"/>
      <c r="AD13" s="78" t="n"/>
      <c r="AE13" s="78" t="n"/>
      <c r="AF13" s="78" t="n"/>
      <c r="AG13" s="82" t="n"/>
      <c r="AH13" s="82" t="n"/>
      <c r="AI13" s="82" t="n"/>
      <c r="AJ13" s="82" t="n"/>
      <c r="AK13" s="82" t="n"/>
      <c r="AL13" s="78" t="n"/>
      <c r="AM13" s="78" t="n"/>
      <c r="AN13" s="78" t="n"/>
      <c r="AO13" s="78" t="n"/>
      <c r="AP13" s="81" t="n"/>
      <c r="AQ13" s="77" t="n"/>
      <c r="AR13" s="78" t="n"/>
      <c r="AS13" s="78" t="n"/>
      <c r="AT13" s="78" t="n"/>
      <c r="AU13" s="78" t="n"/>
      <c r="AV13" s="83" t="n"/>
      <c r="AW13" s="83" t="n"/>
      <c r="AX13" s="83" t="n"/>
      <c r="AY13" s="83" t="n"/>
      <c r="AZ13" s="83" t="n"/>
      <c r="BA13" s="78" t="n"/>
      <c r="BB13" s="78" t="n"/>
      <c r="BC13" s="78" t="n"/>
      <c r="BD13" s="78" t="n"/>
      <c r="BE13" s="81" t="n"/>
      <c r="BF13" s="77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81" t="n"/>
      <c r="BU13" s="38" t="n"/>
      <c r="BV13" s="39" t="n"/>
    </row>
    <row r="14" ht="23.1" customHeight="1" s="240">
      <c r="B14" s="150" t="inlineStr">
        <is>
          <t>1.4</t>
        </is>
      </c>
      <c r="C14" s="193" t="inlineStr">
        <is>
          <t>Crear repositorio en GitHub.</t>
        </is>
      </c>
      <c r="D14" s="152" t="inlineStr">
        <is>
          <t>Alejandro</t>
        </is>
      </c>
      <c r="E14" s="153" t="n">
        <v>1</v>
      </c>
      <c r="F14" s="154" t="n">
        <v>1</v>
      </c>
      <c r="G14" s="155">
        <f>E14-F14</f>
        <v/>
      </c>
      <c r="H14" s="156" t="n"/>
      <c r="I14" s="211" t="n"/>
      <c r="J14" s="211" t="n"/>
      <c r="K14" s="213" t="n"/>
      <c r="L14" s="201">
        <f>IFERROR(F14/E14,"")</f>
        <v/>
      </c>
      <c r="M14" s="77" t="n"/>
      <c r="N14" s="78" t="n"/>
      <c r="O14" s="78" t="n"/>
      <c r="P14" s="78" t="n"/>
      <c r="Q14" s="78" t="n"/>
      <c r="R14" s="80" t="n"/>
      <c r="S14" s="80" t="n"/>
      <c r="T14" s="80" t="n"/>
      <c r="U14" s="79" t="n"/>
      <c r="V14" s="79" t="n"/>
      <c r="W14" s="79" t="n"/>
      <c r="X14" s="79" t="n"/>
      <c r="Y14" s="79" t="n"/>
      <c r="Z14" s="79" t="n"/>
      <c r="AA14" s="81" t="n"/>
      <c r="AB14" s="77" t="n"/>
      <c r="AC14" s="78" t="n"/>
      <c r="AD14" s="78" t="n"/>
      <c r="AE14" s="78" t="n"/>
      <c r="AF14" s="78" t="n"/>
      <c r="AG14" s="82" t="n"/>
      <c r="AH14" s="82" t="n"/>
      <c r="AI14" s="82" t="n"/>
      <c r="AJ14" s="82" t="n"/>
      <c r="AK14" s="82" t="n"/>
      <c r="AL14" s="78" t="n"/>
      <c r="AM14" s="78" t="n"/>
      <c r="AN14" s="78" t="n"/>
      <c r="AO14" s="78" t="n"/>
      <c r="AP14" s="81" t="n"/>
      <c r="AQ14" s="77" t="n"/>
      <c r="AR14" s="78" t="n"/>
      <c r="AS14" s="78" t="n"/>
      <c r="AT14" s="78" t="n"/>
      <c r="AU14" s="78" t="n"/>
      <c r="AV14" s="83" t="n"/>
      <c r="AW14" s="83" t="n"/>
      <c r="AX14" s="83" t="n"/>
      <c r="AY14" s="83" t="n"/>
      <c r="AZ14" s="83" t="n"/>
      <c r="BA14" s="78" t="n"/>
      <c r="BB14" s="78" t="n"/>
      <c r="BC14" s="78" t="n"/>
      <c r="BD14" s="78" t="n"/>
      <c r="BE14" s="81" t="n"/>
      <c r="BF14" s="77" t="n"/>
      <c r="BG14" s="78" t="n"/>
      <c r="BH14" s="78" t="n"/>
      <c r="BI14" s="78" t="n"/>
      <c r="BJ14" s="78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81" t="n"/>
      <c r="BU14" s="38" t="n"/>
      <c r="BV14" s="39" t="n"/>
    </row>
    <row r="15" ht="23.1" customHeight="1" s="240">
      <c r="B15" s="194" t="inlineStr">
        <is>
          <t>2</t>
        </is>
      </c>
      <c r="C15" s="195" t="inlineStr">
        <is>
          <t>HU-2: Recolección y organización del dataset (12h)</t>
        </is>
      </c>
      <c r="D15" s="196" t="n"/>
      <c r="E15" s="197">
        <f>SUM(E16:E19)</f>
        <v/>
      </c>
      <c r="F15" s="198">
        <f>SUM(F16:F19)</f>
        <v/>
      </c>
      <c r="G15" s="199">
        <f>SUM(G16:G19)</f>
        <v/>
      </c>
      <c r="H15" s="200" t="n"/>
      <c r="I15" s="206" t="n">
        <v>46278</v>
      </c>
      <c r="J15" s="206" t="n">
        <v>46284</v>
      </c>
      <c r="K15" s="207">
        <f>J15-I15+1</f>
        <v/>
      </c>
      <c r="L15" s="201">
        <f>IFERROR(F15/E15,"")</f>
        <v/>
      </c>
      <c r="M15" s="73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5" t="n"/>
      <c r="AB15" s="73" t="n"/>
      <c r="AC15" s="74" t="n"/>
      <c r="AD15" s="74" t="n"/>
      <c r="AE15" s="74" t="n"/>
      <c r="AF15" s="7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5" t="n"/>
      <c r="AQ15" s="73" t="n"/>
      <c r="AR15" s="74" t="n"/>
      <c r="AS15" s="74" t="n"/>
      <c r="AT15" s="74" t="n"/>
      <c r="AU15" s="74" t="n"/>
      <c r="AV15" s="74" t="n"/>
      <c r="AW15" s="74" t="n"/>
      <c r="AX15" s="74" t="n"/>
      <c r="AY15" s="74" t="n"/>
      <c r="AZ15" s="74" t="n"/>
      <c r="BA15" s="74" t="n"/>
      <c r="BB15" s="74" t="n"/>
      <c r="BC15" s="74" t="n"/>
      <c r="BD15" s="74" t="n"/>
      <c r="BE15" s="75" t="n"/>
      <c r="BF15" s="73" t="n"/>
      <c r="BG15" s="74" t="n"/>
      <c r="BH15" s="74" t="n"/>
      <c r="BI15" s="74" t="n"/>
      <c r="BJ15" s="74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81" t="n"/>
      <c r="BU15" s="38" t="n"/>
      <c r="BV15" s="39" t="n"/>
    </row>
    <row r="16" ht="23.1" customHeight="1" s="240">
      <c r="B16" s="150" t="n">
        <v>2.1</v>
      </c>
      <c r="C16" s="193" t="inlineStr">
        <is>
          <t>Buscar datasets públicos</t>
        </is>
      </c>
      <c r="D16" s="152" t="inlineStr">
        <is>
          <t>Yersson</t>
        </is>
      </c>
      <c r="E16" s="153" t="n">
        <v>1</v>
      </c>
      <c r="F16" s="154" t="n">
        <v>1</v>
      </c>
      <c r="G16" s="155">
        <f>E16-F16</f>
        <v/>
      </c>
      <c r="H16" s="156" t="n"/>
      <c r="I16" s="187" t="n"/>
      <c r="J16" s="187" t="n"/>
      <c r="K16" s="213" t="n"/>
      <c r="L16" s="201">
        <f>IFERROR(F16/E16,"")</f>
        <v/>
      </c>
      <c r="M16" s="77" t="n"/>
      <c r="N16" s="78" t="n"/>
      <c r="O16" s="78" t="n"/>
      <c r="P16" s="78" t="n"/>
      <c r="Q16" s="78" t="n"/>
      <c r="R16" s="80" t="n"/>
      <c r="S16" s="80" t="n"/>
      <c r="T16" s="80" t="n"/>
      <c r="U16" s="80" t="n"/>
      <c r="V16" s="80" t="n"/>
      <c r="W16" s="78" t="n"/>
      <c r="X16" s="78" t="n"/>
      <c r="Y16" s="78" t="n"/>
      <c r="Z16" s="78" t="n"/>
      <c r="AA16" s="81" t="n"/>
      <c r="AB16" s="84" t="n"/>
      <c r="AC16" s="85" t="n"/>
      <c r="AD16" s="85" t="n"/>
      <c r="AE16" s="85" t="n"/>
      <c r="AF16" s="85" t="n"/>
      <c r="AG16" s="82" t="n"/>
      <c r="AH16" s="82" t="n"/>
      <c r="AI16" s="82" t="n"/>
      <c r="AJ16" s="82" t="n"/>
      <c r="AK16" s="82" t="n"/>
      <c r="AL16" s="78" t="n"/>
      <c r="AM16" s="78" t="n"/>
      <c r="AN16" s="78" t="n"/>
      <c r="AO16" s="78" t="n"/>
      <c r="AP16" s="81" t="n"/>
      <c r="AQ16" s="77" t="n"/>
      <c r="AR16" s="78" t="n"/>
      <c r="AS16" s="78" t="n"/>
      <c r="AT16" s="78" t="n"/>
      <c r="AU16" s="78" t="n"/>
      <c r="AV16" s="83" t="n"/>
      <c r="AW16" s="83" t="n"/>
      <c r="AX16" s="83" t="n"/>
      <c r="AY16" s="83" t="n"/>
      <c r="AZ16" s="83" t="n"/>
      <c r="BA16" s="78" t="n"/>
      <c r="BB16" s="78" t="n"/>
      <c r="BC16" s="78" t="n"/>
      <c r="BD16" s="78" t="n"/>
      <c r="BE16" s="81" t="n"/>
      <c r="BF16" s="77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81" t="n"/>
      <c r="BU16" s="38" t="n"/>
      <c r="BV16" s="39" t="n"/>
    </row>
    <row r="17" ht="23.1" customHeight="1" s="240">
      <c r="B17" s="150" t="n">
        <v>2.2</v>
      </c>
      <c r="C17" s="193" t="inlineStr">
        <is>
          <t>Seleccionar cultivos andinos</t>
        </is>
      </c>
      <c r="D17" s="152" t="inlineStr">
        <is>
          <t>Yersson</t>
        </is>
      </c>
      <c r="E17" s="153" t="n">
        <v>2</v>
      </c>
      <c r="F17" s="154" t="n">
        <v>2</v>
      </c>
      <c r="G17" s="155">
        <f>E17-F17</f>
        <v/>
      </c>
      <c r="H17" s="156" t="n"/>
      <c r="I17" s="187" t="n"/>
      <c r="J17" s="187" t="n"/>
      <c r="K17" s="213" t="n"/>
      <c r="L17" s="201">
        <f>IFERROR(F17/E17,"")</f>
        <v/>
      </c>
      <c r="M17" s="77" t="n"/>
      <c r="N17" s="78" t="n"/>
      <c r="O17" s="78" t="n"/>
      <c r="P17" s="78" t="n"/>
      <c r="Q17" s="78" t="n"/>
      <c r="R17" s="80" t="n"/>
      <c r="S17" s="80" t="n"/>
      <c r="T17" s="80" t="n"/>
      <c r="U17" s="80" t="n"/>
      <c r="V17" s="80" t="n"/>
      <c r="W17" s="78" t="n"/>
      <c r="X17" s="78" t="n"/>
      <c r="Y17" s="78" t="n"/>
      <c r="Z17" s="78" t="n"/>
      <c r="AA17" s="81" t="n"/>
      <c r="AB17" s="77" t="n"/>
      <c r="AC17" s="78" t="n"/>
      <c r="AD17" s="78" t="n"/>
      <c r="AE17" s="78" t="n"/>
      <c r="AF17" s="78" t="n"/>
      <c r="AG17" s="85" t="n"/>
      <c r="AH17" s="85" t="n"/>
      <c r="AI17" s="85" t="n"/>
      <c r="AJ17" s="85" t="n"/>
      <c r="AK17" s="85" t="n"/>
      <c r="AL17" s="78" t="n"/>
      <c r="AM17" s="78" t="n"/>
      <c r="AN17" s="78" t="n"/>
      <c r="AO17" s="78" t="n"/>
      <c r="AP17" s="81" t="n"/>
      <c r="AQ17" s="77" t="n"/>
      <c r="AR17" s="78" t="n"/>
      <c r="AS17" s="78" t="n"/>
      <c r="AT17" s="78" t="n"/>
      <c r="AU17" s="78" t="n"/>
      <c r="AV17" s="83" t="n"/>
      <c r="AW17" s="83" t="n"/>
      <c r="AX17" s="83" t="n"/>
      <c r="AY17" s="83" t="n"/>
      <c r="AZ17" s="83" t="n"/>
      <c r="BA17" s="78" t="n"/>
      <c r="BB17" s="78" t="n"/>
      <c r="BC17" s="78" t="n"/>
      <c r="BD17" s="78" t="n"/>
      <c r="BE17" s="81" t="n"/>
      <c r="BF17" s="77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81" t="n"/>
      <c r="BU17" s="38" t="n"/>
      <c r="BV17" s="39" t="n"/>
    </row>
    <row r="18" ht="23.1" customHeight="1" s="240">
      <c r="B18" s="150" t="n">
        <v>2.3</v>
      </c>
      <c r="C18" s="193" t="inlineStr">
        <is>
          <t>Clasificar imágenes</t>
        </is>
      </c>
      <c r="D18" s="152" t="inlineStr">
        <is>
          <t>Yersson</t>
        </is>
      </c>
      <c r="E18" s="153" t="n">
        <v>6</v>
      </c>
      <c r="F18" s="154" t="n">
        <v>6</v>
      </c>
      <c r="G18" s="155">
        <f>E18-F18</f>
        <v/>
      </c>
      <c r="H18" s="156" t="n"/>
      <c r="I18" s="187" t="n"/>
      <c r="J18" s="187" t="n"/>
      <c r="K18" s="213" t="n"/>
      <c r="L18" s="201">
        <f>IFERROR(F18/E18,"")</f>
        <v/>
      </c>
      <c r="M18" s="77" t="n"/>
      <c r="N18" s="78" t="n"/>
      <c r="O18" s="78" t="n"/>
      <c r="P18" s="78" t="n"/>
      <c r="Q18" s="78" t="n"/>
      <c r="R18" s="80" t="n"/>
      <c r="S18" s="80" t="n"/>
      <c r="T18" s="80" t="n"/>
      <c r="U18" s="80" t="n"/>
      <c r="V18" s="80" t="n"/>
      <c r="W18" s="78" t="n"/>
      <c r="X18" s="78" t="n"/>
      <c r="Y18" s="78" t="n"/>
      <c r="Z18" s="78" t="n"/>
      <c r="AA18" s="81" t="n"/>
      <c r="AB18" s="77" t="n"/>
      <c r="AC18" s="78" t="n"/>
      <c r="AD18" s="78" t="n"/>
      <c r="AE18" s="78" t="n"/>
      <c r="AF18" s="78" t="n"/>
      <c r="AG18" s="82" t="n"/>
      <c r="AH18" s="82" t="n"/>
      <c r="AI18" s="82" t="n"/>
      <c r="AJ18" s="82" t="n"/>
      <c r="AK18" s="82" t="n"/>
      <c r="AL18" s="78" t="n"/>
      <c r="AM18" s="78" t="n"/>
      <c r="AN18" s="78" t="n"/>
      <c r="AO18" s="78" t="n"/>
      <c r="AP18" s="81" t="n"/>
      <c r="AQ18" s="77" t="n"/>
      <c r="AR18" s="78" t="n"/>
      <c r="AS18" s="78" t="n"/>
      <c r="AT18" s="78" t="n"/>
      <c r="AU18" s="78" t="n"/>
      <c r="AV18" s="83" t="n"/>
      <c r="AW18" s="83" t="n"/>
      <c r="AX18" s="83" t="n"/>
      <c r="AY18" s="83" t="n"/>
      <c r="AZ18" s="83" t="n"/>
      <c r="BA18" s="78" t="n"/>
      <c r="BB18" s="78" t="n"/>
      <c r="BC18" s="78" t="n"/>
      <c r="BD18" s="78" t="n"/>
      <c r="BE18" s="81" t="n"/>
      <c r="BF18" s="77" t="n"/>
      <c r="BG18" s="78" t="n"/>
      <c r="BH18" s="78" t="n"/>
      <c r="BI18" s="78" t="n"/>
      <c r="BJ18" s="78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81" t="n"/>
      <c r="BU18" s="38" t="n"/>
      <c r="BV18" s="39" t="n"/>
    </row>
    <row r="19" ht="23.1" customHeight="1" s="240">
      <c r="B19" s="150" t="n">
        <v>2.4</v>
      </c>
      <c r="C19" s="193" t="inlineStr">
        <is>
          <t>Documentar la fuente de datos.</t>
        </is>
      </c>
      <c r="D19" s="152" t="inlineStr">
        <is>
          <t>Yersson</t>
        </is>
      </c>
      <c r="E19" s="153" t="n">
        <v>3</v>
      </c>
      <c r="F19" s="154" t="n">
        <v>3</v>
      </c>
      <c r="G19" s="155">
        <f>E19-F19</f>
        <v/>
      </c>
      <c r="H19" s="156" t="n"/>
      <c r="I19" s="187" t="n"/>
      <c r="J19" s="187" t="n"/>
      <c r="K19" s="213" t="n"/>
      <c r="L19" s="201">
        <f>IFERROR(F19/E19,"")</f>
        <v/>
      </c>
      <c r="M19" s="77" t="n"/>
      <c r="N19" s="78" t="n"/>
      <c r="O19" s="78" t="n"/>
      <c r="P19" s="78" t="n"/>
      <c r="Q19" s="78" t="n"/>
      <c r="R19" s="80" t="n"/>
      <c r="S19" s="80" t="n"/>
      <c r="T19" s="80" t="n"/>
      <c r="U19" s="80" t="n"/>
      <c r="V19" s="80" t="n"/>
      <c r="W19" s="78" t="n"/>
      <c r="X19" s="78" t="n"/>
      <c r="Y19" s="78" t="n"/>
      <c r="Z19" s="78" t="n"/>
      <c r="AA19" s="81" t="n"/>
      <c r="AB19" s="77" t="n"/>
      <c r="AC19" s="78" t="n"/>
      <c r="AD19" s="78" t="n"/>
      <c r="AE19" s="78" t="n"/>
      <c r="AF19" s="78" t="n"/>
      <c r="AG19" s="82" t="n"/>
      <c r="AH19" s="82" t="n"/>
      <c r="AI19" s="82" t="n"/>
      <c r="AJ19" s="82" t="n"/>
      <c r="AK19" s="82" t="n"/>
      <c r="AL19" s="78" t="n"/>
      <c r="AM19" s="78" t="n"/>
      <c r="AN19" s="78" t="n"/>
      <c r="AO19" s="78" t="n"/>
      <c r="AP19" s="81" t="n"/>
      <c r="AQ19" s="77" t="n"/>
      <c r="AR19" s="78" t="n"/>
      <c r="AS19" s="78" t="n"/>
      <c r="AT19" s="78" t="n"/>
      <c r="AU19" s="78" t="n"/>
      <c r="AV19" s="83" t="n"/>
      <c r="AW19" s="83" t="n"/>
      <c r="AX19" s="83" t="n"/>
      <c r="AY19" s="83" t="n"/>
      <c r="AZ19" s="83" t="n"/>
      <c r="BA19" s="78" t="n"/>
      <c r="BB19" s="78" t="n"/>
      <c r="BC19" s="78" t="n"/>
      <c r="BD19" s="78" t="n"/>
      <c r="BE19" s="81" t="n"/>
      <c r="BF19" s="77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81" t="n"/>
      <c r="BU19" s="38" t="n"/>
      <c r="BV19" s="39" t="n"/>
    </row>
    <row r="20" ht="23.1" customHeight="1" s="240">
      <c r="B20" s="194" t="n">
        <v>3</v>
      </c>
      <c r="C20" s="195" t="inlineStr">
        <is>
          <t>HU-3: Preprocesamiento de imágenes (8h)</t>
        </is>
      </c>
      <c r="D20" s="196" t="n"/>
      <c r="E20" s="197">
        <f>SUM(E21:E24)</f>
        <v/>
      </c>
      <c r="F20" s="198">
        <f>SUM(F21:F24)</f>
        <v/>
      </c>
      <c r="G20" s="199">
        <f>SUM(G21:G24)</f>
        <v/>
      </c>
      <c r="H20" s="200" t="n"/>
      <c r="I20" s="206" t="n">
        <v>46278</v>
      </c>
      <c r="J20" s="206" t="n">
        <v>46284</v>
      </c>
      <c r="K20" s="207">
        <f>J20-I20+1</f>
        <v/>
      </c>
      <c r="L20" s="201">
        <f>IFERROR(F20/E20,"")</f>
        <v/>
      </c>
      <c r="M20" s="73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5" t="n"/>
      <c r="AB20" s="73" t="n"/>
      <c r="AC20" s="74" t="n"/>
      <c r="AD20" s="74" t="n"/>
      <c r="AE20" s="74" t="n"/>
      <c r="AF20" s="7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5" t="n"/>
      <c r="AQ20" s="73" t="n"/>
      <c r="AR20" s="74" t="n"/>
      <c r="AS20" s="74" t="n"/>
      <c r="AT20" s="74" t="n"/>
      <c r="AU20" s="74" t="n"/>
      <c r="AV20" s="74" t="n"/>
      <c r="AW20" s="74" t="n"/>
      <c r="AX20" s="74" t="n"/>
      <c r="AY20" s="74" t="n"/>
      <c r="AZ20" s="74" t="n"/>
      <c r="BA20" s="74" t="n"/>
      <c r="BB20" s="74" t="n"/>
      <c r="BC20" s="74" t="n"/>
      <c r="BD20" s="74" t="n"/>
      <c r="BE20" s="75" t="n"/>
      <c r="BF20" s="73" t="n"/>
      <c r="BG20" s="74" t="n"/>
      <c r="BH20" s="74" t="n"/>
      <c r="BI20" s="74" t="n"/>
      <c r="BJ20" s="74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81" t="n"/>
      <c r="BU20" s="38" t="n"/>
      <c r="BV20" s="39" t="n"/>
    </row>
    <row r="21" ht="23.1" customHeight="1" s="240">
      <c r="B21" s="150" t="n">
        <v>3.1</v>
      </c>
      <c r="C21" s="193" t="inlineStr">
        <is>
          <t>Redimensionar imágenes</t>
        </is>
      </c>
      <c r="D21" s="152" t="inlineStr">
        <is>
          <t>Yersson</t>
        </is>
      </c>
      <c r="E21" s="153" t="n">
        <v>3</v>
      </c>
      <c r="F21" s="154" t="n">
        <v>3</v>
      </c>
      <c r="G21" s="155">
        <f>E21-F21</f>
        <v/>
      </c>
      <c r="H21" s="156" t="n"/>
      <c r="I21" s="157" t="n"/>
      <c r="J21" s="158" t="n"/>
      <c r="K21" s="213" t="n"/>
      <c r="L21" s="201">
        <f>IFERROR(F21/E21,"")</f>
        <v/>
      </c>
      <c r="M21" s="77" t="n"/>
      <c r="N21" s="78" t="n"/>
      <c r="O21" s="78" t="n"/>
      <c r="P21" s="78" t="n"/>
      <c r="Q21" s="78" t="n"/>
      <c r="R21" s="80" t="n"/>
      <c r="S21" s="80" t="n"/>
      <c r="T21" s="80" t="n"/>
      <c r="U21" s="80" t="n"/>
      <c r="V21" s="80" t="n"/>
      <c r="W21" s="78" t="n"/>
      <c r="X21" s="78" t="n"/>
      <c r="Y21" s="78" t="n"/>
      <c r="Z21" s="78" t="n"/>
      <c r="AA21" s="81" t="n"/>
      <c r="AB21" s="77" t="n"/>
      <c r="AC21" s="78" t="n"/>
      <c r="AD21" s="78" t="n"/>
      <c r="AE21" s="78" t="n"/>
      <c r="AF21" s="78" t="n"/>
      <c r="AG21" s="82" t="n"/>
      <c r="AH21" s="82" t="n"/>
      <c r="AI21" s="82" t="n"/>
      <c r="AJ21" s="82" t="n"/>
      <c r="AK21" s="82" t="n"/>
      <c r="AL21" s="78" t="n"/>
      <c r="AM21" s="78" t="n"/>
      <c r="AN21" s="78" t="n"/>
      <c r="AO21" s="78" t="n"/>
      <c r="AP21" s="81" t="n"/>
      <c r="AQ21" s="77" t="n"/>
      <c r="AR21" s="78" t="n"/>
      <c r="AS21" s="78" t="n"/>
      <c r="AT21" s="78" t="n"/>
      <c r="AU21" s="78" t="n"/>
      <c r="AV21" s="83" t="n"/>
      <c r="AW21" s="83" t="n"/>
      <c r="AX21" s="83" t="n"/>
      <c r="AY21" s="83" t="n"/>
      <c r="AZ21" s="83" t="n"/>
      <c r="BA21" s="78" t="n"/>
      <c r="BB21" s="78" t="n"/>
      <c r="BC21" s="78" t="n"/>
      <c r="BD21" s="78" t="n"/>
      <c r="BE21" s="81" t="n"/>
      <c r="BF21" s="77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81" t="n"/>
      <c r="BU21" s="38" t="n"/>
      <c r="BV21" s="39" t="n"/>
    </row>
    <row r="22" ht="23.1" customHeight="1" s="240">
      <c r="B22" s="150" t="n">
        <v>3.2</v>
      </c>
      <c r="C22" s="193" t="inlineStr">
        <is>
          <t>Normalizar valores de píxeles.</t>
        </is>
      </c>
      <c r="D22" s="152" t="inlineStr">
        <is>
          <t>Yersson</t>
        </is>
      </c>
      <c r="E22" s="153" t="n">
        <v>2</v>
      </c>
      <c r="F22" s="154" t="n">
        <v>2</v>
      </c>
      <c r="G22" s="155">
        <f>E22-F22</f>
        <v/>
      </c>
      <c r="H22" s="156" t="n"/>
      <c r="I22" s="157" t="n"/>
      <c r="J22" s="158" t="n"/>
      <c r="K22" s="213" t="n"/>
      <c r="L22" s="201">
        <f>IFERROR(F22/E22,"")</f>
        <v/>
      </c>
      <c r="M22" s="77" t="n"/>
      <c r="N22" s="78" t="n"/>
      <c r="O22" s="78" t="n"/>
      <c r="P22" s="78" t="n"/>
      <c r="Q22" s="78" t="n"/>
      <c r="R22" s="80" t="n"/>
      <c r="S22" s="80" t="n"/>
      <c r="T22" s="80" t="n"/>
      <c r="U22" s="80" t="n"/>
      <c r="V22" s="80" t="n"/>
      <c r="W22" s="78" t="n"/>
      <c r="X22" s="78" t="n"/>
      <c r="Y22" s="78" t="n"/>
      <c r="Z22" s="78" t="n"/>
      <c r="AA22" s="81" t="n"/>
      <c r="AB22" s="77" t="n"/>
      <c r="AC22" s="78" t="n"/>
      <c r="AD22" s="78" t="n"/>
      <c r="AE22" s="78" t="n"/>
      <c r="AF22" s="78" t="n"/>
      <c r="AG22" s="82" t="n"/>
      <c r="AH22" s="82" t="n"/>
      <c r="AI22" s="82" t="n"/>
      <c r="AJ22" s="82" t="n"/>
      <c r="AK22" s="82" t="n"/>
      <c r="AL22" s="78" t="n"/>
      <c r="AM22" s="78" t="n"/>
      <c r="AN22" s="78" t="n"/>
      <c r="AO22" s="78" t="n"/>
      <c r="AP22" s="81" t="n"/>
      <c r="AQ22" s="77" t="n"/>
      <c r="AR22" s="78" t="n"/>
      <c r="AS22" s="78" t="n"/>
      <c r="AT22" s="78" t="n"/>
      <c r="AU22" s="78" t="n"/>
      <c r="AV22" s="83" t="n"/>
      <c r="AW22" s="83" t="n"/>
      <c r="AX22" s="83" t="n"/>
      <c r="AY22" s="83" t="n"/>
      <c r="AZ22" s="83" t="n"/>
      <c r="BA22" s="78" t="n"/>
      <c r="BB22" s="78" t="n"/>
      <c r="BC22" s="78" t="n"/>
      <c r="BD22" s="78" t="n"/>
      <c r="BE22" s="81" t="n"/>
      <c r="BF22" s="77" t="n"/>
      <c r="BG22" s="78" t="n"/>
      <c r="BH22" s="78" t="n"/>
      <c r="BI22" s="78" t="n"/>
      <c r="BJ22" s="78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81" t="n"/>
      <c r="BU22" s="38" t="n"/>
      <c r="BV22" s="39" t="n"/>
    </row>
    <row r="23" ht="23.1" customHeight="1" s="240">
      <c r="B23" s="150" t="inlineStr">
        <is>
          <t>3.2.1</t>
        </is>
      </c>
      <c r="C23" s="193" t="inlineStr">
        <is>
          <t>Implementar técnicas de aumento de datos</t>
        </is>
      </c>
      <c r="D23" s="152" t="inlineStr">
        <is>
          <t>Yersson</t>
        </is>
      </c>
      <c r="E23" s="153" t="n">
        <v>2</v>
      </c>
      <c r="F23" s="154" t="n">
        <v>2</v>
      </c>
      <c r="G23" s="155">
        <f>E23-F23</f>
        <v/>
      </c>
      <c r="H23" s="163" t="n"/>
      <c r="I23" s="157" t="n"/>
      <c r="J23" s="158" t="n"/>
      <c r="K23" s="213" t="n"/>
      <c r="L23" s="201">
        <f>IFERROR(F23/E23,"")</f>
        <v/>
      </c>
      <c r="M23" s="77" t="n"/>
      <c r="N23" s="78" t="n"/>
      <c r="O23" s="78" t="n"/>
      <c r="P23" s="78" t="n"/>
      <c r="Q23" s="78" t="n"/>
      <c r="R23" s="80" t="n"/>
      <c r="S23" s="80" t="n"/>
      <c r="T23" s="80" t="n"/>
      <c r="U23" s="80" t="n"/>
      <c r="V23" s="80" t="n"/>
      <c r="W23" s="78" t="n"/>
      <c r="X23" s="78" t="n"/>
      <c r="Y23" s="78" t="n"/>
      <c r="Z23" s="78" t="n"/>
      <c r="AA23" s="81" t="n"/>
      <c r="AB23" s="77" t="n"/>
      <c r="AC23" s="78" t="n"/>
      <c r="AD23" s="78" t="n"/>
      <c r="AE23" s="78" t="n"/>
      <c r="AF23" s="78" t="n"/>
      <c r="AG23" s="82" t="n"/>
      <c r="AH23" s="82" t="n"/>
      <c r="AI23" s="82" t="n"/>
      <c r="AJ23" s="82" t="n"/>
      <c r="AK23" s="82" t="n"/>
      <c r="AL23" s="78" t="n"/>
      <c r="AM23" s="78" t="n"/>
      <c r="AN23" s="78" t="n"/>
      <c r="AO23" s="78" t="n"/>
      <c r="AP23" s="81" t="n"/>
      <c r="AQ23" s="77" t="n"/>
      <c r="AR23" s="78" t="n"/>
      <c r="AS23" s="78" t="n"/>
      <c r="AT23" s="78" t="n"/>
      <c r="AU23" s="78" t="n"/>
      <c r="AV23" s="83" t="n"/>
      <c r="AW23" s="83" t="n"/>
      <c r="AX23" s="83" t="n"/>
      <c r="AY23" s="83" t="n"/>
      <c r="AZ23" s="83" t="n"/>
      <c r="BA23" s="78" t="n"/>
      <c r="BB23" s="78" t="n"/>
      <c r="BC23" s="78" t="n"/>
      <c r="BD23" s="78" t="n"/>
      <c r="BE23" s="81" t="n"/>
      <c r="BF23" s="77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81" t="n"/>
      <c r="BU23" s="38" t="n"/>
      <c r="BV23" s="39" t="n"/>
    </row>
    <row r="24" ht="23.1" customHeight="1" s="240">
      <c r="B24" s="150" t="inlineStr">
        <is>
          <t>3.2.2</t>
        </is>
      </c>
      <c r="C24" s="193" t="inlineStr">
        <is>
          <t>Guardar dataset limpio.</t>
        </is>
      </c>
      <c r="D24" s="152" t="inlineStr">
        <is>
          <t>Yersson</t>
        </is>
      </c>
      <c r="E24" s="153" t="n">
        <v>1</v>
      </c>
      <c r="F24" s="154" t="n">
        <v>1</v>
      </c>
      <c r="G24" s="155">
        <f>E24-F24</f>
        <v/>
      </c>
      <c r="H24" s="163" t="n"/>
      <c r="I24" s="157" t="n"/>
      <c r="J24" s="158" t="n"/>
      <c r="K24" s="213" t="n"/>
      <c r="L24" s="201">
        <f>IFERROR(F24/E24,"")</f>
        <v/>
      </c>
      <c r="M24" s="77" t="n"/>
      <c r="N24" s="78" t="n"/>
      <c r="O24" s="78" t="n"/>
      <c r="P24" s="78" t="n"/>
      <c r="Q24" s="78" t="n"/>
      <c r="R24" s="80" t="n"/>
      <c r="S24" s="80" t="n"/>
      <c r="T24" s="80" t="n"/>
      <c r="U24" s="80" t="n"/>
      <c r="V24" s="80" t="n"/>
      <c r="W24" s="78" t="n"/>
      <c r="X24" s="78" t="n"/>
      <c r="Y24" s="78" t="n"/>
      <c r="Z24" s="78" t="n"/>
      <c r="AA24" s="81" t="n"/>
      <c r="AB24" s="77" t="n"/>
      <c r="AC24" s="78" t="n"/>
      <c r="AD24" s="78" t="n"/>
      <c r="AE24" s="78" t="n"/>
      <c r="AF24" s="78" t="n"/>
      <c r="AG24" s="82" t="n"/>
      <c r="AH24" s="82" t="n"/>
      <c r="AI24" s="82" t="n"/>
      <c r="AJ24" s="82" t="n"/>
      <c r="AK24" s="82" t="n"/>
      <c r="AL24" s="78" t="n"/>
      <c r="AM24" s="78" t="n"/>
      <c r="AN24" s="78" t="n"/>
      <c r="AO24" s="78" t="n"/>
      <c r="AP24" s="81" t="n"/>
      <c r="AQ24" s="77" t="n"/>
      <c r="AR24" s="78" t="n"/>
      <c r="AS24" s="78" t="n"/>
      <c r="AT24" s="78" t="n"/>
      <c r="AU24" s="78" t="n"/>
      <c r="AV24" s="83" t="n"/>
      <c r="AW24" s="83" t="n"/>
      <c r="AX24" s="83" t="n"/>
      <c r="AY24" s="83" t="n"/>
      <c r="AZ24" s="83" t="n"/>
      <c r="BA24" s="78" t="n"/>
      <c r="BB24" s="78" t="n"/>
      <c r="BC24" s="78" t="n"/>
      <c r="BD24" s="78" t="n"/>
      <c r="BE24" s="81" t="n"/>
      <c r="BF24" s="77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81" t="n"/>
      <c r="BU24" s="38" t="n"/>
      <c r="BV24" s="39" t="n"/>
    </row>
    <row r="25" ht="23.1" customHeight="1" s="240">
      <c r="B25" s="194" t="inlineStr">
        <is>
          <t>4</t>
        </is>
      </c>
      <c r="C25" s="195" t="inlineStr">
        <is>
          <t>HU-4: Diseño de arquitectura base CNN (12h)</t>
        </is>
      </c>
      <c r="D25" s="196" t="n"/>
      <c r="E25" s="197">
        <f>SUM(E26:E29)</f>
        <v/>
      </c>
      <c r="F25" s="198">
        <f>SUM(F26:F29)</f>
        <v/>
      </c>
      <c r="G25" s="199">
        <f>SUM(G26:G29)</f>
        <v/>
      </c>
      <c r="H25" s="200" t="n"/>
      <c r="I25" s="206" t="n">
        <v>46278</v>
      </c>
      <c r="J25" s="206" t="n">
        <v>46284</v>
      </c>
      <c r="K25" s="207">
        <f>J25-I25+1</f>
        <v/>
      </c>
      <c r="L25" s="201">
        <f>IFERROR(F25/E25,"")</f>
        <v/>
      </c>
      <c r="M25" s="73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5" t="n"/>
      <c r="AB25" s="73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5" t="n"/>
      <c r="AQ25" s="73" t="n"/>
      <c r="AR25" s="74" t="n"/>
      <c r="AS25" s="74" t="n"/>
      <c r="AT25" s="74" t="n"/>
      <c r="AU25" s="74" t="n"/>
      <c r="AV25" s="74" t="n"/>
      <c r="AW25" s="74" t="n"/>
      <c r="AX25" s="74" t="n"/>
      <c r="AY25" s="74" t="n"/>
      <c r="AZ25" s="74" t="n"/>
      <c r="BA25" s="74" t="n"/>
      <c r="BB25" s="74" t="n"/>
      <c r="BC25" s="74" t="n"/>
      <c r="BD25" s="74" t="n"/>
      <c r="BE25" s="75" t="n"/>
      <c r="BF25" s="73" t="n"/>
      <c r="BG25" s="74" t="n"/>
      <c r="BH25" s="74" t="n"/>
      <c r="BI25" s="74" t="n"/>
      <c r="BJ25" s="74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81" t="n"/>
      <c r="BU25" s="38" t="n"/>
      <c r="BV25" s="39" t="n"/>
    </row>
    <row r="26" ht="23.1" customHeight="1" s="240">
      <c r="B26" s="150" t="inlineStr">
        <is>
          <t>4.1</t>
        </is>
      </c>
      <c r="C26" s="193" t="inlineStr">
        <is>
          <t>Definir capas de la red</t>
        </is>
      </c>
      <c r="D26" s="152" t="inlineStr">
        <is>
          <t>Andree</t>
        </is>
      </c>
      <c r="E26" s="153" t="n">
        <v>2</v>
      </c>
      <c r="F26" s="154" t="n">
        <v>2</v>
      </c>
      <c r="G26" s="155">
        <f>E26-F26</f>
        <v/>
      </c>
      <c r="H26" s="156" t="n"/>
      <c r="I26" s="157" t="n"/>
      <c r="J26" s="158" t="n"/>
      <c r="K26" s="213" t="n"/>
      <c r="L26" s="201">
        <f>IFERROR(F26/E26,"")</f>
        <v/>
      </c>
      <c r="M26" s="77" t="n"/>
      <c r="N26" s="78" t="n"/>
      <c r="O26" s="78" t="n"/>
      <c r="P26" s="78" t="n"/>
      <c r="Q26" s="78" t="n"/>
      <c r="R26" s="80" t="n"/>
      <c r="S26" s="80" t="n"/>
      <c r="T26" s="80" t="n"/>
      <c r="U26" s="80" t="n"/>
      <c r="V26" s="80" t="n"/>
      <c r="W26" s="78" t="n"/>
      <c r="X26" s="78" t="n"/>
      <c r="Y26" s="78" t="n"/>
      <c r="Z26" s="78" t="n"/>
      <c r="AA26" s="81" t="n"/>
      <c r="AB26" s="77" t="n"/>
      <c r="AC26" s="78" t="n"/>
      <c r="AD26" s="78" t="n"/>
      <c r="AE26" s="78" t="n"/>
      <c r="AF26" s="78" t="n"/>
      <c r="AG26" s="82" t="n"/>
      <c r="AH26" s="82" t="n"/>
      <c r="AI26" s="82" t="n"/>
      <c r="AJ26" s="82" t="n"/>
      <c r="AK26" s="82" t="n"/>
      <c r="AL26" s="78" t="n"/>
      <c r="AM26" s="78" t="n"/>
      <c r="AN26" s="78" t="n"/>
      <c r="AO26" s="78" t="n"/>
      <c r="AP26" s="81" t="n"/>
      <c r="AQ26" s="77" t="n"/>
      <c r="AR26" s="78" t="n"/>
      <c r="AS26" s="78" t="n"/>
      <c r="AT26" s="78" t="n"/>
      <c r="AU26" s="78" t="n"/>
      <c r="AV26" s="83" t="n"/>
      <c r="AW26" s="83" t="n"/>
      <c r="AX26" s="83" t="n"/>
      <c r="AY26" s="83" t="n"/>
      <c r="AZ26" s="83" t="n"/>
      <c r="BA26" s="78" t="n"/>
      <c r="BB26" s="78" t="n"/>
      <c r="BC26" s="78" t="n"/>
      <c r="BD26" s="78" t="n"/>
      <c r="BE26" s="81" t="n"/>
      <c r="BF26" s="77" t="n"/>
      <c r="BG26" s="78" t="n"/>
      <c r="BH26" s="78" t="n"/>
      <c r="BI26" s="78" t="n"/>
      <c r="BJ26" s="78" t="n"/>
      <c r="BK26" s="78" t="n"/>
      <c r="BL26" s="78" t="n"/>
      <c r="BM26" s="78" t="n"/>
      <c r="BN26" s="78" t="n"/>
      <c r="BO26" s="78" t="n"/>
      <c r="BP26" s="78" t="n"/>
      <c r="BQ26" s="78" t="n"/>
      <c r="BR26" s="78" t="n"/>
      <c r="BS26" s="78" t="n"/>
      <c r="BT26" s="81" t="n"/>
      <c r="BU26" s="38" t="n"/>
      <c r="BV26" s="39" t="n"/>
    </row>
    <row r="27" ht="23.1" customHeight="1" s="240">
      <c r="B27" s="150" t="inlineStr">
        <is>
          <t>4.2</t>
        </is>
      </c>
      <c r="C27" s="193" t="inlineStr">
        <is>
          <t>Configurar función de pérdida y optimizador.</t>
        </is>
      </c>
      <c r="D27" s="152" t="inlineStr">
        <is>
          <t>Andree</t>
        </is>
      </c>
      <c r="E27" s="153" t="n">
        <v>2</v>
      </c>
      <c r="F27" s="154" t="n">
        <v>2</v>
      </c>
      <c r="G27" s="155">
        <f>E27-F27</f>
        <v/>
      </c>
      <c r="H27" s="156" t="n"/>
      <c r="I27" s="157" t="n"/>
      <c r="J27" s="158" t="n"/>
      <c r="K27" s="213" t="n"/>
      <c r="L27" s="201">
        <f>IFERROR(F27/E27,"")</f>
        <v/>
      </c>
      <c r="M27" s="77" t="n"/>
      <c r="N27" s="78" t="n"/>
      <c r="O27" s="78" t="n"/>
      <c r="P27" s="78" t="n"/>
      <c r="Q27" s="78" t="n"/>
      <c r="R27" s="80" t="n"/>
      <c r="S27" s="80" t="n"/>
      <c r="T27" s="80" t="n"/>
      <c r="U27" s="80" t="n"/>
      <c r="V27" s="80" t="n"/>
      <c r="W27" s="78" t="n"/>
      <c r="X27" s="78" t="n"/>
      <c r="Y27" s="78" t="n"/>
      <c r="Z27" s="78" t="n"/>
      <c r="AA27" s="81" t="n"/>
      <c r="AB27" s="77" t="n"/>
      <c r="AC27" s="78" t="n"/>
      <c r="AD27" s="78" t="n"/>
      <c r="AE27" s="78" t="n"/>
      <c r="AF27" s="78" t="n"/>
      <c r="AG27" s="82" t="n"/>
      <c r="AH27" s="82" t="n"/>
      <c r="AI27" s="82" t="n"/>
      <c r="AJ27" s="82" t="n"/>
      <c r="AK27" s="82" t="n"/>
      <c r="AL27" s="78" t="n"/>
      <c r="AM27" s="78" t="n"/>
      <c r="AN27" s="78" t="n"/>
      <c r="AO27" s="78" t="n"/>
      <c r="AP27" s="81" t="n"/>
      <c r="AQ27" s="77" t="n"/>
      <c r="AR27" s="78" t="n"/>
      <c r="AS27" s="78" t="n"/>
      <c r="AT27" s="78" t="n"/>
      <c r="AU27" s="78" t="n"/>
      <c r="AV27" s="83" t="n"/>
      <c r="AW27" s="83" t="n"/>
      <c r="AX27" s="83" t="n"/>
      <c r="AY27" s="83" t="n"/>
      <c r="AZ27" s="83" t="n"/>
      <c r="BA27" s="78" t="n"/>
      <c r="BB27" s="78" t="n"/>
      <c r="BC27" s="78" t="n"/>
      <c r="BD27" s="78" t="n"/>
      <c r="BE27" s="81" t="n"/>
      <c r="BF27" s="77" t="n"/>
      <c r="BG27" s="78" t="n"/>
      <c r="BH27" s="78" t="n"/>
      <c r="BI27" s="78" t="n"/>
      <c r="BJ27" s="78" t="n"/>
      <c r="BK27" s="78" t="n"/>
      <c r="BL27" s="78" t="n"/>
      <c r="BM27" s="78" t="n"/>
      <c r="BN27" s="78" t="n"/>
      <c r="BO27" s="78" t="n"/>
      <c r="BP27" s="78" t="n"/>
      <c r="BQ27" s="78" t="n"/>
      <c r="BR27" s="78" t="n"/>
      <c r="BS27" s="78" t="n"/>
      <c r="BT27" s="81" t="n"/>
      <c r="BU27" s="38" t="n"/>
      <c r="BV27" s="39" t="n"/>
    </row>
    <row r="28" ht="23.1" customHeight="1" s="240">
      <c r="B28" s="150" t="inlineStr">
        <is>
          <t>4.3</t>
        </is>
      </c>
      <c r="C28" s="193" t="inlineStr">
        <is>
          <t>Implementar entrenamiento inicial.</t>
        </is>
      </c>
      <c r="D28" s="152" t="inlineStr">
        <is>
          <t>Andree</t>
        </is>
      </c>
      <c r="E28" s="153" t="n">
        <v>6</v>
      </c>
      <c r="F28" s="154" t="n">
        <v>6</v>
      </c>
      <c r="G28" s="155">
        <f>E28-F28</f>
        <v/>
      </c>
      <c r="H28" s="156" t="n"/>
      <c r="I28" s="157" t="n"/>
      <c r="J28" s="158" t="n"/>
      <c r="K28" s="213" t="n"/>
      <c r="L28" s="201">
        <f>IFERROR(F28/E28,"")</f>
        <v/>
      </c>
      <c r="M28" s="77" t="n"/>
      <c r="N28" s="78" t="n"/>
      <c r="O28" s="78" t="n"/>
      <c r="P28" s="78" t="n"/>
      <c r="Q28" s="78" t="n"/>
      <c r="R28" s="80" t="n"/>
      <c r="S28" s="80" t="n"/>
      <c r="T28" s="80" t="n"/>
      <c r="U28" s="80" t="n"/>
      <c r="V28" s="80" t="n"/>
      <c r="W28" s="78" t="n"/>
      <c r="X28" s="78" t="n"/>
      <c r="Y28" s="78" t="n"/>
      <c r="Z28" s="78" t="n"/>
      <c r="AA28" s="81" t="n"/>
      <c r="AB28" s="77" t="n"/>
      <c r="AC28" s="78" t="n"/>
      <c r="AD28" s="78" t="n"/>
      <c r="AE28" s="78" t="n"/>
      <c r="AF28" s="78" t="n"/>
      <c r="AG28" s="82" t="n"/>
      <c r="AH28" s="82" t="n"/>
      <c r="AI28" s="82" t="n"/>
      <c r="AJ28" s="82" t="n"/>
      <c r="AK28" s="82" t="n"/>
      <c r="AL28" s="78" t="n"/>
      <c r="AM28" s="78" t="n"/>
      <c r="AN28" s="78" t="n"/>
      <c r="AO28" s="78" t="n"/>
      <c r="AP28" s="81" t="n"/>
      <c r="AQ28" s="77" t="n"/>
      <c r="AR28" s="78" t="n"/>
      <c r="AS28" s="78" t="n"/>
      <c r="AT28" s="78" t="n"/>
      <c r="AU28" s="78" t="n"/>
      <c r="AV28" s="83" t="n"/>
      <c r="AW28" s="83" t="n"/>
      <c r="AX28" s="83" t="n"/>
      <c r="AY28" s="83" t="n"/>
      <c r="AZ28" s="83" t="n"/>
      <c r="BA28" s="78" t="n"/>
      <c r="BB28" s="78" t="n"/>
      <c r="BC28" s="78" t="n"/>
      <c r="BD28" s="78" t="n"/>
      <c r="BE28" s="81" t="n"/>
      <c r="BF28" s="77" t="n"/>
      <c r="BG28" s="78" t="n"/>
      <c r="BH28" s="78" t="n"/>
      <c r="BI28" s="78" t="n"/>
      <c r="BJ28" s="78" t="n"/>
      <c r="BK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81" t="n"/>
      <c r="BU28" s="38" t="n"/>
      <c r="BV28" s="39" t="n"/>
    </row>
    <row r="29" ht="23.1" customHeight="1" s="240" thickBot="1">
      <c r="B29" s="150" t="inlineStr">
        <is>
          <t>4.4</t>
        </is>
      </c>
      <c r="C29" s="208" t="inlineStr">
        <is>
          <t>Evaluar desempeño preliminar.</t>
        </is>
      </c>
      <c r="D29" s="152" t="inlineStr">
        <is>
          <t>Andree</t>
        </is>
      </c>
      <c r="E29" s="172" t="n">
        <v>2</v>
      </c>
      <c r="F29" s="173" t="n">
        <v>2</v>
      </c>
      <c r="G29" s="174">
        <f>E29-F29</f>
        <v/>
      </c>
      <c r="H29" s="175" t="n"/>
      <c r="I29" s="176" t="n"/>
      <c r="J29" s="177" t="n"/>
      <c r="K29" s="214" t="n"/>
      <c r="L29" s="201">
        <f>IFERROR(F29/E29,"")</f>
        <v/>
      </c>
      <c r="M29" s="86" t="n"/>
      <c r="N29" s="87" t="n"/>
      <c r="O29" s="87" t="n"/>
      <c r="P29" s="87" t="n"/>
      <c r="Q29" s="87" t="n"/>
      <c r="R29" s="88" t="n"/>
      <c r="S29" s="88" t="n"/>
      <c r="T29" s="88" t="n"/>
      <c r="U29" s="88" t="n"/>
      <c r="V29" s="88" t="n"/>
      <c r="W29" s="87" t="n"/>
      <c r="X29" s="87" t="n"/>
      <c r="Y29" s="87" t="n"/>
      <c r="Z29" s="87" t="n"/>
      <c r="AA29" s="89" t="n"/>
      <c r="AB29" s="86" t="n"/>
      <c r="AC29" s="87" t="n"/>
      <c r="AD29" s="87" t="n"/>
      <c r="AE29" s="87" t="n"/>
      <c r="AF29" s="87" t="n"/>
      <c r="AG29" s="90" t="n"/>
      <c r="AH29" s="90" t="n"/>
      <c r="AI29" s="90" t="n"/>
      <c r="AJ29" s="90" t="n"/>
      <c r="AK29" s="90" t="n"/>
      <c r="AL29" s="87" t="n"/>
      <c r="AM29" s="87" t="n"/>
      <c r="AN29" s="87" t="n"/>
      <c r="AO29" s="87" t="n"/>
      <c r="AP29" s="89" t="n"/>
      <c r="AQ29" s="86" t="n"/>
      <c r="AR29" s="87" t="n"/>
      <c r="AS29" s="87" t="n"/>
      <c r="AT29" s="87" t="n"/>
      <c r="AU29" s="87" t="n"/>
      <c r="AV29" s="91" t="n"/>
      <c r="AW29" s="91" t="n"/>
      <c r="AX29" s="91" t="n"/>
      <c r="AY29" s="91" t="n"/>
      <c r="AZ29" s="91" t="n"/>
      <c r="BA29" s="87" t="n"/>
      <c r="BB29" s="87" t="n"/>
      <c r="BC29" s="87" t="n"/>
      <c r="BD29" s="87" t="n"/>
      <c r="BE29" s="89" t="n"/>
      <c r="BF29" s="86" t="n"/>
      <c r="BG29" s="87" t="n"/>
      <c r="BH29" s="87" t="n"/>
      <c r="BI29" s="87" t="n"/>
      <c r="BJ29" s="87" t="n"/>
      <c r="BK29" s="191" t="n"/>
      <c r="BL29" s="191" t="n"/>
      <c r="BM29" s="191" t="n"/>
      <c r="BN29" s="191" t="n"/>
      <c r="BO29" s="191" t="n"/>
      <c r="BP29" s="191" t="n"/>
      <c r="BQ29" s="191" t="n"/>
      <c r="BR29" s="191" t="n"/>
      <c r="BS29" s="191" t="n"/>
      <c r="BT29" s="192" t="n"/>
      <c r="BU29" s="38" t="n"/>
      <c r="BV29" s="39" t="n"/>
    </row>
    <row r="30" ht="23.1" customHeight="1" s="240">
      <c r="B30" s="194" t="inlineStr">
        <is>
          <t>5</t>
        </is>
      </c>
      <c r="C30" s="195" t="inlineStr">
        <is>
          <t>HU-5: Clasificación básica (8h)</t>
        </is>
      </c>
      <c r="D30" s="196" t="n"/>
      <c r="E30" s="197">
        <f>SUM(E31:E34)</f>
        <v/>
      </c>
      <c r="F30" s="198">
        <f>SUM(F31:F34)</f>
        <v/>
      </c>
      <c r="G30" s="199">
        <f>SUM(G31:G34)</f>
        <v/>
      </c>
      <c r="H30" s="200" t="n"/>
      <c r="I30" s="206" t="n">
        <v>46278</v>
      </c>
      <c r="J30" s="206" t="n">
        <v>46284</v>
      </c>
      <c r="K30" s="207">
        <f>J30-I30+1</f>
        <v/>
      </c>
      <c r="L30" s="201">
        <f>IFERROR(F30/E30,"")</f>
        <v/>
      </c>
      <c r="M30" s="73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5" t="n"/>
      <c r="AB30" s="73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5" t="n"/>
      <c r="AQ30" s="73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5" t="n"/>
      <c r="BF30" s="73" t="n"/>
      <c r="BG30" s="74" t="n"/>
      <c r="BH30" s="74" t="n"/>
      <c r="BI30" s="74" t="n"/>
      <c r="BJ30" s="74" t="n"/>
      <c r="BK30" s="191" t="n"/>
      <c r="BL30" s="191" t="n"/>
      <c r="BM30" s="191" t="n"/>
      <c r="BN30" s="191" t="n"/>
      <c r="BO30" s="191" t="n"/>
      <c r="BP30" s="191" t="n"/>
      <c r="BQ30" s="191" t="n"/>
      <c r="BR30" s="191" t="n"/>
      <c r="BS30" s="191" t="n"/>
      <c r="BT30" s="192" t="n"/>
      <c r="BU30" s="38" t="n"/>
      <c r="BV30" s="39" t="n"/>
    </row>
    <row r="31" ht="23.1" customHeight="1" s="240">
      <c r="B31" s="150" t="inlineStr">
        <is>
          <t>5.1</t>
        </is>
      </c>
      <c r="C31" s="193" t="inlineStr">
        <is>
          <t>Entrenar modelo con dos clases</t>
        </is>
      </c>
      <c r="D31" s="152" t="inlineStr">
        <is>
          <t>Andree</t>
        </is>
      </c>
      <c r="E31" s="153" t="n">
        <v>3</v>
      </c>
      <c r="F31" s="154" t="n">
        <v>3</v>
      </c>
      <c r="G31" s="155">
        <f>E31-F31</f>
        <v/>
      </c>
      <c r="H31" s="212" t="n"/>
      <c r="I31" s="157" t="n"/>
      <c r="J31" s="158" t="n"/>
      <c r="K31" s="213" t="n"/>
      <c r="L31" s="201">
        <f>IFERROR(F31/E31,"")</f>
        <v/>
      </c>
      <c r="M31" s="73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5" t="n"/>
      <c r="AB31" s="73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5" t="n"/>
      <c r="AQ31" s="73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5" t="n"/>
      <c r="BF31" s="73" t="n"/>
      <c r="BG31" s="74" t="n"/>
      <c r="BH31" s="74" t="n"/>
      <c r="BI31" s="74" t="n"/>
      <c r="BJ31" s="74" t="n"/>
      <c r="BK31" s="191" t="n"/>
      <c r="BL31" s="191" t="n"/>
      <c r="BM31" s="191" t="n"/>
      <c r="BN31" s="191" t="n"/>
      <c r="BO31" s="191" t="n"/>
      <c r="BP31" s="191" t="n"/>
      <c r="BQ31" s="191" t="n"/>
      <c r="BR31" s="191" t="n"/>
      <c r="BS31" s="191" t="n"/>
      <c r="BT31" s="192" t="n"/>
      <c r="BU31" s="38" t="n"/>
      <c r="BV31" s="39" t="n"/>
    </row>
    <row r="32" ht="23.1" customHeight="1" s="240">
      <c r="B32" s="150" t="inlineStr">
        <is>
          <t>5.2</t>
        </is>
      </c>
      <c r="C32" s="193" t="inlineStr">
        <is>
          <t>Validar con un subconjunto del dataset.</t>
        </is>
      </c>
      <c r="D32" s="152" t="inlineStr">
        <is>
          <t>Andree</t>
        </is>
      </c>
      <c r="E32" s="153" t="n">
        <v>2</v>
      </c>
      <c r="F32" s="154" t="n">
        <v>2</v>
      </c>
      <c r="G32" s="155">
        <f>E32-F32</f>
        <v/>
      </c>
      <c r="H32" s="212" t="n"/>
      <c r="I32" s="157" t="n"/>
      <c r="J32" s="158" t="n"/>
      <c r="K32" s="213" t="n"/>
      <c r="L32" s="201">
        <f>IFERROR(F32/E32,"")</f>
        <v/>
      </c>
      <c r="M32" s="73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5" t="n"/>
      <c r="AB32" s="73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5" t="n"/>
      <c r="AQ32" s="73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5" t="n"/>
      <c r="BF32" s="73" t="n"/>
      <c r="BG32" s="74" t="n"/>
      <c r="BH32" s="74" t="n"/>
      <c r="BI32" s="74" t="n"/>
      <c r="BJ32" s="74" t="n"/>
      <c r="BK32" s="191" t="n"/>
      <c r="BL32" s="191" t="n"/>
      <c r="BM32" s="191" t="n"/>
      <c r="BN32" s="191" t="n"/>
      <c r="BO32" s="191" t="n"/>
      <c r="BP32" s="191" t="n"/>
      <c r="BQ32" s="191" t="n"/>
      <c r="BR32" s="191" t="n"/>
      <c r="BS32" s="191" t="n"/>
      <c r="BT32" s="192" t="n"/>
      <c r="BU32" s="38" t="n"/>
      <c r="BV32" s="39" t="n"/>
    </row>
    <row r="33" ht="23.1" customHeight="1" s="240">
      <c r="B33" s="150" t="inlineStr">
        <is>
          <t>5.3</t>
        </is>
      </c>
      <c r="C33" s="193" t="inlineStr">
        <is>
          <t>Mostrar métricas de exactitud.</t>
        </is>
      </c>
      <c r="D33" s="152" t="inlineStr">
        <is>
          <t>Andree</t>
        </is>
      </c>
      <c r="E33" s="153" t="n">
        <v>2</v>
      </c>
      <c r="F33" s="154" t="n">
        <v>2</v>
      </c>
      <c r="G33" s="155">
        <f>E33-F33</f>
        <v/>
      </c>
      <c r="H33" s="212" t="n"/>
      <c r="I33" s="157" t="n"/>
      <c r="J33" s="158" t="n"/>
      <c r="K33" s="213" t="n"/>
      <c r="L33" s="201">
        <f>IFERROR(F33/E33,"")</f>
        <v/>
      </c>
      <c r="M33" s="73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5" t="n"/>
      <c r="AB33" s="73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5" t="n"/>
      <c r="AQ33" s="73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5" t="n"/>
      <c r="BF33" s="73" t="n"/>
      <c r="BG33" s="74" t="n"/>
      <c r="BH33" s="74" t="n"/>
      <c r="BI33" s="74" t="n"/>
      <c r="BJ33" s="74" t="n"/>
      <c r="BK33" s="191" t="n"/>
      <c r="BL33" s="191" t="n"/>
      <c r="BM33" s="191" t="n"/>
      <c r="BN33" s="191" t="n"/>
      <c r="BO33" s="191" t="n"/>
      <c r="BP33" s="191" t="n"/>
      <c r="BQ33" s="191" t="n"/>
      <c r="BR33" s="191" t="n"/>
      <c r="BS33" s="191" t="n"/>
      <c r="BT33" s="192" t="n"/>
      <c r="BU33" s="38" t="n"/>
      <c r="BV33" s="39" t="n"/>
    </row>
    <row r="34" ht="23.1" customHeight="1" s="240" thickBot="1">
      <c r="B34" s="150" t="inlineStr">
        <is>
          <t>5.4</t>
        </is>
      </c>
      <c r="C34" s="193" t="inlineStr">
        <is>
          <t>Probar predicciones básicas.</t>
        </is>
      </c>
      <c r="D34" s="152" t="inlineStr">
        <is>
          <t>Andree</t>
        </is>
      </c>
      <c r="E34" s="153" t="n">
        <v>1</v>
      </c>
      <c r="F34" s="154" t="n">
        <v>1</v>
      </c>
      <c r="G34" s="174">
        <f>E34-F34</f>
        <v/>
      </c>
      <c r="H34" s="212" t="n"/>
      <c r="I34" s="157" t="n"/>
      <c r="J34" s="158" t="n"/>
      <c r="K34" s="214" t="n"/>
      <c r="L34" s="201">
        <f>IFERROR(F34/E34,"")</f>
        <v/>
      </c>
      <c r="M34" s="73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5" t="n"/>
      <c r="AB34" s="73" t="n"/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75" t="n"/>
      <c r="AQ34" s="73" t="n"/>
      <c r="AR34" s="74" t="n"/>
      <c r="AS34" s="74" t="n"/>
      <c r="AT34" s="74" t="n"/>
      <c r="AU34" s="74" t="n"/>
      <c r="AV34" s="74" t="n"/>
      <c r="AW34" s="74" t="n"/>
      <c r="AX34" s="74" t="n"/>
      <c r="AY34" s="74" t="n"/>
      <c r="AZ34" s="74" t="n"/>
      <c r="BA34" s="74" t="n"/>
      <c r="BB34" s="74" t="n"/>
      <c r="BC34" s="74" t="n"/>
      <c r="BD34" s="74" t="n"/>
      <c r="BE34" s="75" t="n"/>
      <c r="BF34" s="73" t="n"/>
      <c r="BG34" s="74" t="n"/>
      <c r="BH34" s="74" t="n"/>
      <c r="BI34" s="74" t="n"/>
      <c r="BJ34" s="74" t="n"/>
      <c r="BK34" s="191" t="n"/>
      <c r="BL34" s="191" t="n"/>
      <c r="BM34" s="191" t="n"/>
      <c r="BN34" s="191" t="n"/>
      <c r="BO34" s="191" t="n"/>
      <c r="BP34" s="191" t="n"/>
      <c r="BQ34" s="191" t="n"/>
      <c r="BR34" s="191" t="n"/>
      <c r="BS34" s="191" t="n"/>
      <c r="BT34" s="192" t="n"/>
      <c r="BU34" s="38" t="n"/>
      <c r="BV34" s="39" t="n"/>
    </row>
    <row r="35" ht="23.1" customHeight="1" s="240">
      <c r="B35" s="194" t="inlineStr">
        <is>
          <t>6</t>
        </is>
      </c>
      <c r="C35" s="195" t="inlineStr">
        <is>
          <t>HU-8: Mostrar nivel de confianza (4h)</t>
        </is>
      </c>
      <c r="D35" s="196" t="n"/>
      <c r="E35" s="197">
        <f>SUM(E36:E39)</f>
        <v/>
      </c>
      <c r="F35" s="198">
        <f>SUM(F36:F39)</f>
        <v/>
      </c>
      <c r="G35" s="199">
        <f>SUM(G36:G39)</f>
        <v/>
      </c>
      <c r="H35" s="200" t="n"/>
      <c r="I35" s="206" t="n">
        <v>46278</v>
      </c>
      <c r="J35" s="206" t="n">
        <v>46284</v>
      </c>
      <c r="K35" s="207">
        <f>J35-I35+1</f>
        <v/>
      </c>
      <c r="L35" s="201">
        <f>IFERROR(F35/E35,"")</f>
        <v/>
      </c>
      <c r="M35" s="73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5" t="n"/>
      <c r="AB35" s="73" t="n"/>
      <c r="AC35" s="74" t="n"/>
      <c r="AD35" s="74" t="n"/>
      <c r="AE35" s="74" t="n"/>
      <c r="AF35" s="74" t="n"/>
      <c r="AG35" s="74" t="n"/>
      <c r="AH35" s="74" t="n"/>
      <c r="AI35" s="74" t="n"/>
      <c r="AJ35" s="74" t="n"/>
      <c r="AK35" s="74" t="n"/>
      <c r="AL35" s="74" t="n"/>
      <c r="AM35" s="74" t="n"/>
      <c r="AN35" s="74" t="n"/>
      <c r="AO35" s="74" t="n"/>
      <c r="AP35" s="75" t="n"/>
      <c r="AQ35" s="73" t="n"/>
      <c r="AR35" s="74" t="n"/>
      <c r="AS35" s="74" t="n"/>
      <c r="AT35" s="74" t="n"/>
      <c r="AU35" s="74" t="n"/>
      <c r="AV35" s="74" t="n"/>
      <c r="AW35" s="74" t="n"/>
      <c r="AX35" s="74" t="n"/>
      <c r="AY35" s="74" t="n"/>
      <c r="AZ35" s="74" t="n"/>
      <c r="BA35" s="74" t="n"/>
      <c r="BB35" s="74" t="n"/>
      <c r="BC35" s="74" t="n"/>
      <c r="BD35" s="74" t="n"/>
      <c r="BE35" s="75" t="n"/>
      <c r="BF35" s="73" t="n"/>
      <c r="BG35" s="74" t="n"/>
      <c r="BH35" s="74" t="n"/>
      <c r="BI35" s="74" t="n"/>
      <c r="BJ35" s="74" t="n"/>
      <c r="BK35" s="191" t="n"/>
      <c r="BL35" s="191" t="n"/>
      <c r="BM35" s="191" t="n"/>
      <c r="BN35" s="191" t="n"/>
      <c r="BO35" s="191" t="n"/>
      <c r="BP35" s="191" t="n"/>
      <c r="BQ35" s="191" t="n"/>
      <c r="BR35" s="191" t="n"/>
      <c r="BS35" s="191" t="n"/>
      <c r="BT35" s="192" t="n"/>
      <c r="BU35" s="38" t="n"/>
      <c r="BV35" s="39" t="n"/>
    </row>
    <row r="36" ht="23.1" customHeight="1" s="240">
      <c r="B36" s="150" t="inlineStr">
        <is>
          <t>6.1</t>
        </is>
      </c>
      <c r="C36" s="193" t="inlineStr">
        <is>
          <t>Calcular softmax para probabilidades.</t>
        </is>
      </c>
      <c r="D36" s="152" t="inlineStr">
        <is>
          <t>Alejandro</t>
        </is>
      </c>
      <c r="E36" s="153" t="n">
        <v>1</v>
      </c>
      <c r="F36" s="154" t="n">
        <v>1</v>
      </c>
      <c r="G36" s="155">
        <f>E36-F36</f>
        <v/>
      </c>
      <c r="H36" s="212" t="n"/>
      <c r="I36" s="157" t="n"/>
      <c r="J36" s="158" t="n"/>
      <c r="K36" s="213" t="n"/>
      <c r="L36" s="201">
        <f>IFERROR(F36/E36,"")</f>
        <v/>
      </c>
      <c r="M36" s="73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5" t="n"/>
      <c r="AB36" s="73" t="n"/>
      <c r="AC36" s="74" t="n"/>
      <c r="AD36" s="74" t="n"/>
      <c r="AE36" s="74" t="n"/>
      <c r="AF36" s="74" t="n"/>
      <c r="AG36" s="74" t="n"/>
      <c r="AH36" s="74" t="n"/>
      <c r="AI36" s="74" t="n"/>
      <c r="AJ36" s="74" t="n"/>
      <c r="AK36" s="74" t="n"/>
      <c r="AL36" s="74" t="n"/>
      <c r="AM36" s="74" t="n"/>
      <c r="AN36" s="74" t="n"/>
      <c r="AO36" s="74" t="n"/>
      <c r="AP36" s="75" t="n"/>
      <c r="AQ36" s="73" t="n"/>
      <c r="AR36" s="74" t="n"/>
      <c r="AS36" s="74" t="n"/>
      <c r="AT36" s="74" t="n"/>
      <c r="AU36" s="74" t="n"/>
      <c r="AV36" s="74" t="n"/>
      <c r="AW36" s="74" t="n"/>
      <c r="AX36" s="74" t="n"/>
      <c r="AY36" s="74" t="n"/>
      <c r="AZ36" s="74" t="n"/>
      <c r="BA36" s="74" t="n"/>
      <c r="BB36" s="74" t="n"/>
      <c r="BC36" s="74" t="n"/>
      <c r="BD36" s="74" t="n"/>
      <c r="BE36" s="75" t="n"/>
      <c r="BF36" s="73" t="n"/>
      <c r="BG36" s="74" t="n"/>
      <c r="BH36" s="74" t="n"/>
      <c r="BI36" s="74" t="n"/>
      <c r="BJ36" s="74" t="n"/>
      <c r="BK36" s="191" t="n"/>
      <c r="BL36" s="191" t="n"/>
      <c r="BM36" s="191" t="n"/>
      <c r="BN36" s="191" t="n"/>
      <c r="BO36" s="191" t="n"/>
      <c r="BP36" s="191" t="n"/>
      <c r="BQ36" s="191" t="n"/>
      <c r="BR36" s="191" t="n"/>
      <c r="BS36" s="191" t="n"/>
      <c r="BT36" s="192" t="n"/>
      <c r="BU36" s="38" t="n"/>
      <c r="BV36" s="39" t="n"/>
    </row>
    <row r="37" ht="23.1" customHeight="1" s="240">
      <c r="B37" s="150" t="inlineStr">
        <is>
          <t>6.2</t>
        </is>
      </c>
      <c r="C37" s="193" t="inlineStr">
        <is>
          <t>Mostrar % de confianza en resultados.</t>
        </is>
      </c>
      <c r="D37" s="152" t="inlineStr">
        <is>
          <t>Alejandro</t>
        </is>
      </c>
      <c r="E37" s="153" t="n">
        <v>1</v>
      </c>
      <c r="F37" s="154" t="n">
        <v>1</v>
      </c>
      <c r="G37" s="155">
        <f>E37-F37</f>
        <v/>
      </c>
      <c r="H37" s="212" t="n"/>
      <c r="I37" s="157" t="n"/>
      <c r="J37" s="158" t="n"/>
      <c r="K37" s="213" t="n"/>
      <c r="L37" s="201">
        <f>IFERROR(F37/E37,"")</f>
        <v/>
      </c>
      <c r="M37" s="73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5" t="n"/>
      <c r="AB37" s="73" t="n"/>
      <c r="AC37" s="74" t="n"/>
      <c r="AD37" s="74" t="n"/>
      <c r="AE37" s="74" t="n"/>
      <c r="AF37" s="74" t="n"/>
      <c r="AG37" s="74" t="n"/>
      <c r="AH37" s="74" t="n"/>
      <c r="AI37" s="74" t="n"/>
      <c r="AJ37" s="74" t="n"/>
      <c r="AK37" s="74" t="n"/>
      <c r="AL37" s="74" t="n"/>
      <c r="AM37" s="74" t="n"/>
      <c r="AN37" s="74" t="n"/>
      <c r="AO37" s="74" t="n"/>
      <c r="AP37" s="75" t="n"/>
      <c r="AQ37" s="73" t="n"/>
      <c r="AR37" s="74" t="n"/>
      <c r="AS37" s="74" t="n"/>
      <c r="AT37" s="74" t="n"/>
      <c r="AU37" s="74" t="n"/>
      <c r="AV37" s="74" t="n"/>
      <c r="AW37" s="74" t="n"/>
      <c r="AX37" s="74" t="n"/>
      <c r="AY37" s="74" t="n"/>
      <c r="AZ37" s="74" t="n"/>
      <c r="BA37" s="74" t="n"/>
      <c r="BB37" s="74" t="n"/>
      <c r="BC37" s="74" t="n"/>
      <c r="BD37" s="74" t="n"/>
      <c r="BE37" s="75" t="n"/>
      <c r="BF37" s="73" t="n"/>
      <c r="BG37" s="74" t="n"/>
      <c r="BH37" s="74" t="n"/>
      <c r="BI37" s="74" t="n"/>
      <c r="BJ37" s="74" t="n"/>
      <c r="BK37" s="191" t="n"/>
      <c r="BL37" s="191" t="n"/>
      <c r="BM37" s="191" t="n"/>
      <c r="BN37" s="191" t="n"/>
      <c r="BO37" s="191" t="n"/>
      <c r="BP37" s="191" t="n"/>
      <c r="BQ37" s="191" t="n"/>
      <c r="BR37" s="191" t="n"/>
      <c r="BS37" s="191" t="n"/>
      <c r="BT37" s="192" t="n"/>
      <c r="BU37" s="38" t="n"/>
      <c r="BV37" s="39" t="n"/>
    </row>
    <row r="38" ht="23.1" customHeight="1" s="240">
      <c r="B38" s="150" t="inlineStr">
        <is>
          <t>6.3</t>
        </is>
      </c>
      <c r="C38" s="193" t="inlineStr">
        <is>
          <t>Validar casos de baja confianza.</t>
        </is>
      </c>
      <c r="D38" s="152" t="inlineStr">
        <is>
          <t>Alejandro</t>
        </is>
      </c>
      <c r="E38" s="153" t="n">
        <v>1</v>
      </c>
      <c r="F38" s="154" t="n">
        <v>1</v>
      </c>
      <c r="G38" s="155">
        <f>E38-F38</f>
        <v/>
      </c>
      <c r="H38" s="212" t="n"/>
      <c r="I38" s="157" t="n"/>
      <c r="J38" s="158" t="n"/>
      <c r="K38" s="213" t="n"/>
      <c r="L38" s="201">
        <f>IFERROR(F38/E38,"")</f>
        <v/>
      </c>
      <c r="M38" s="73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5" t="n"/>
      <c r="AB38" s="73" t="n"/>
      <c r="AC38" s="74" t="n"/>
      <c r="AD38" s="74" t="n"/>
      <c r="AE38" s="74" t="n"/>
      <c r="AF38" s="74" t="n"/>
      <c r="AG38" s="74" t="n"/>
      <c r="AH38" s="74" t="n"/>
      <c r="AI38" s="74" t="n"/>
      <c r="AJ38" s="74" t="n"/>
      <c r="AK38" s="74" t="n"/>
      <c r="AL38" s="74" t="n"/>
      <c r="AM38" s="74" t="n"/>
      <c r="AN38" s="74" t="n"/>
      <c r="AO38" s="74" t="n"/>
      <c r="AP38" s="75" t="n"/>
      <c r="AQ38" s="73" t="n"/>
      <c r="AR38" s="74" t="n"/>
      <c r="AS38" s="74" t="n"/>
      <c r="AT38" s="74" t="n"/>
      <c r="AU38" s="74" t="n"/>
      <c r="AV38" s="74" t="n"/>
      <c r="AW38" s="74" t="n"/>
      <c r="AX38" s="74" t="n"/>
      <c r="AY38" s="74" t="n"/>
      <c r="AZ38" s="74" t="n"/>
      <c r="BA38" s="74" t="n"/>
      <c r="BB38" s="74" t="n"/>
      <c r="BC38" s="74" t="n"/>
      <c r="BD38" s="74" t="n"/>
      <c r="BE38" s="75" t="n"/>
      <c r="BF38" s="73" t="n"/>
      <c r="BG38" s="74" t="n"/>
      <c r="BH38" s="74" t="n"/>
      <c r="BI38" s="74" t="n"/>
      <c r="BJ38" s="74" t="n"/>
      <c r="BK38" s="191" t="n"/>
      <c r="BL38" s="191" t="n"/>
      <c r="BM38" s="191" t="n"/>
      <c r="BN38" s="191" t="n"/>
      <c r="BO38" s="191" t="n"/>
      <c r="BP38" s="191" t="n"/>
      <c r="BQ38" s="191" t="n"/>
      <c r="BR38" s="191" t="n"/>
      <c r="BS38" s="191" t="n"/>
      <c r="BT38" s="192" t="n"/>
      <c r="BU38" s="38" t="n"/>
      <c r="BV38" s="39" t="n"/>
    </row>
    <row r="39" ht="23.1" customHeight="1" s="240" thickBot="1">
      <c r="B39" s="150" t="inlineStr">
        <is>
          <t>6.4</t>
        </is>
      </c>
      <c r="C39" s="193" t="inlineStr">
        <is>
          <t>Integrar con salida del modelo.</t>
        </is>
      </c>
      <c r="D39" s="152" t="inlineStr">
        <is>
          <t>Alejandro</t>
        </is>
      </c>
      <c r="E39" s="219" t="n">
        <v>1</v>
      </c>
      <c r="F39" s="220" t="n">
        <v>1</v>
      </c>
      <c r="G39" s="190">
        <f>E39-F39</f>
        <v/>
      </c>
      <c r="H39" s="221" t="n"/>
      <c r="I39" s="222" t="n"/>
      <c r="J39" s="158" t="n"/>
      <c r="K39" s="214" t="n"/>
      <c r="L39" s="201">
        <f>IFERROR(F39/E39,"")</f>
        <v/>
      </c>
      <c r="M39" s="73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5" t="n"/>
      <c r="AB39" s="73" t="n"/>
      <c r="AC39" s="74" t="n"/>
      <c r="AD39" s="74" t="n"/>
      <c r="AE39" s="74" t="n"/>
      <c r="AF39" s="74" t="n"/>
      <c r="AG39" s="74" t="n"/>
      <c r="AH39" s="74" t="n"/>
      <c r="AI39" s="74" t="n"/>
      <c r="AJ39" s="74" t="n"/>
      <c r="AK39" s="74" t="n"/>
      <c r="AL39" s="74" t="n"/>
      <c r="AM39" s="74" t="n"/>
      <c r="AN39" s="74" t="n"/>
      <c r="AO39" s="74" t="n"/>
      <c r="AP39" s="75" t="n"/>
      <c r="AQ39" s="73" t="n"/>
      <c r="AR39" s="74" t="n"/>
      <c r="AS39" s="74" t="n"/>
      <c r="AT39" s="74" t="n"/>
      <c r="AU39" s="74" t="n"/>
      <c r="AV39" s="74" t="n"/>
      <c r="AW39" s="74" t="n"/>
      <c r="AX39" s="74" t="n"/>
      <c r="AY39" s="74" t="n"/>
      <c r="AZ39" s="74" t="n"/>
      <c r="BA39" s="74" t="n"/>
      <c r="BB39" s="74" t="n"/>
      <c r="BC39" s="74" t="n"/>
      <c r="BD39" s="74" t="n"/>
      <c r="BE39" s="75" t="n"/>
      <c r="BF39" s="73" t="n"/>
      <c r="BG39" s="74" t="n"/>
      <c r="BH39" s="74" t="n"/>
      <c r="BI39" s="74" t="n"/>
      <c r="BJ39" s="74" t="n"/>
      <c r="BK39" s="87" t="n"/>
      <c r="BL39" s="87" t="n"/>
      <c r="BM39" s="87" t="n"/>
      <c r="BN39" s="87" t="n"/>
      <c r="BO39" s="87" t="n"/>
      <c r="BP39" s="87" t="n"/>
      <c r="BQ39" s="87" t="n"/>
      <c r="BR39" s="87" t="n"/>
      <c r="BS39" s="87" t="n"/>
      <c r="BT39" s="89" t="n"/>
      <c r="BU39" s="38" t="n"/>
      <c r="BV39" s="39" t="n"/>
    </row>
    <row r="40" ht="23.1" customHeight="1" s="240">
      <c r="B40" s="38" t="n"/>
      <c r="C40" s="38" t="n"/>
      <c r="D40" s="223" t="n"/>
      <c r="E40" s="224" t="inlineStr">
        <is>
          <t>ESTIMAR</t>
        </is>
      </c>
      <c r="F40" s="224" t="inlineStr">
        <is>
          <t>COMPLETADO</t>
        </is>
      </c>
      <c r="G40" s="224" t="inlineStr">
        <is>
          <t>RESTANTE</t>
        </is>
      </c>
      <c r="H40" s="224" t="inlineStr">
        <is>
          <t>DÍAS</t>
        </is>
      </c>
      <c r="I40" s="224" t="inlineStr">
        <is>
          <t>EST/ DÍAS</t>
        </is>
      </c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  <c r="BB40" s="38" t="n"/>
      <c r="BC40" s="38" t="n"/>
      <c r="BD40" s="38" t="n"/>
      <c r="BE40" s="38" t="n"/>
      <c r="BF40" s="38" t="n"/>
      <c r="BG40" s="38" t="n"/>
      <c r="BH40" s="38" t="n"/>
      <c r="BI40" s="38" t="n"/>
      <c r="BJ40" s="38" t="n"/>
      <c r="BK40" s="38" t="n"/>
      <c r="BL40" s="38" t="n"/>
      <c r="BM40" s="38" t="n"/>
      <c r="BN40" s="38" t="n"/>
      <c r="BO40" s="38" t="n"/>
      <c r="BP40" s="38" t="n"/>
      <c r="BQ40" s="38" t="n"/>
      <c r="BR40" s="38" t="n"/>
      <c r="BS40" s="38" t="n"/>
      <c r="BT40" s="38" t="n"/>
      <c r="BU40" s="38" t="n"/>
      <c r="BV40" s="39" t="n"/>
    </row>
    <row r="41" ht="23.1" customHeight="1" s="240">
      <c r="B41" s="38" t="n"/>
      <c r="C41" s="36" t="inlineStr">
        <is>
          <t>DATOS DE DESGASTE</t>
        </is>
      </c>
      <c r="D41" s="215" t="inlineStr">
        <is>
          <t>TOTAL DE HORAS</t>
        </is>
      </c>
      <c r="E41" s="216">
        <f>SUM(E11:E14,E16:E19,E21:E24,E26:E29,E31:E34,E36:E39)</f>
        <v/>
      </c>
      <c r="F41" s="216">
        <f>SUM(F11:F14,F16:F19,F21:F24,F26:F29,F31:F34,F36:F39)</f>
        <v/>
      </c>
      <c r="G41" s="216">
        <f>SUM(G11:G14,G16:G19,G21:G24,G26:G29,G31:G34,G36:G39)</f>
        <v/>
      </c>
      <c r="H41" s="217" t="n">
        <v>7</v>
      </c>
      <c r="I41" s="218">
        <f>E41/H41</f>
        <v/>
      </c>
      <c r="J41" s="38" t="n"/>
      <c r="K41" s="38" t="n"/>
      <c r="L41" s="182" t="inlineStr">
        <is>
          <t>DÍA</t>
        </is>
      </c>
      <c r="M41" s="95" t="n">
        <v>1</v>
      </c>
      <c r="N41" s="95" t="n">
        <v>2</v>
      </c>
      <c r="O41" s="95" t="n">
        <v>3</v>
      </c>
      <c r="P41" s="95" t="n">
        <v>4</v>
      </c>
      <c r="Q41" s="95" t="n">
        <v>5</v>
      </c>
      <c r="R41" s="95" t="n">
        <v>6</v>
      </c>
      <c r="S41" s="95" t="n">
        <v>7</v>
      </c>
      <c r="T41" s="95" t="n"/>
      <c r="U41" s="95" t="n"/>
      <c r="V41" s="95" t="n"/>
      <c r="W41" s="95" t="n"/>
      <c r="X41" s="95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  <c r="AI41" s="95" t="n"/>
      <c r="AJ41" s="95" t="n"/>
      <c r="AK41" s="95" t="n"/>
      <c r="AL41" s="95" t="n"/>
      <c r="AM41" s="95" t="n"/>
      <c r="AN41" s="95" t="n"/>
      <c r="AO41" s="95" t="n"/>
      <c r="AP41" s="95" t="n"/>
      <c r="AQ41" s="95" t="n"/>
      <c r="AR41" s="95" t="n"/>
      <c r="AS41" s="95" t="n"/>
      <c r="AT41" s="95" t="n"/>
      <c r="AU41" s="95" t="n"/>
      <c r="AV41" s="95" t="n"/>
      <c r="AW41" s="95" t="n"/>
      <c r="AX41" s="95" t="n"/>
      <c r="AY41" s="95" t="n"/>
      <c r="AZ41" s="95" t="n"/>
      <c r="BA41" s="95" t="n"/>
      <c r="BB41" s="95" t="n"/>
      <c r="BC41" s="95" t="n"/>
      <c r="BD41" s="95" t="n"/>
      <c r="BE41" s="95" t="n"/>
      <c r="BF41" s="95" t="n"/>
      <c r="BG41" s="95" t="n"/>
      <c r="BH41" s="95" t="n"/>
      <c r="BI41" s="95" t="n"/>
      <c r="BJ41" s="95" t="n"/>
      <c r="BK41" s="95" t="n"/>
      <c r="BL41" s="95" t="n"/>
      <c r="BM41" s="95" t="n"/>
      <c r="BN41" s="95" t="n"/>
      <c r="BO41" s="95" t="n"/>
      <c r="BP41" s="95" t="n"/>
      <c r="BQ41" s="95" t="n"/>
      <c r="BR41" s="95" t="n"/>
      <c r="BS41" s="95" t="n"/>
      <c r="BT41" s="95" t="n"/>
      <c r="BU41" s="38" t="n"/>
      <c r="BV41" s="137" t="inlineStr">
        <is>
          <t>TOTAL</t>
        </is>
      </c>
    </row>
    <row r="42" ht="23.1" customHeight="1" s="240">
      <c r="B42" s="38" t="n"/>
      <c r="C42" s="38" t="n"/>
      <c r="D42" s="38" t="n"/>
      <c r="E42" s="38" t="n"/>
      <c r="F42" s="38" t="n"/>
      <c r="G42" s="38" t="n"/>
      <c r="H42" s="96" t="inlineStr">
        <is>
          <t xml:space="preserve">     ^ Introduzca el número de días</t>
        </is>
      </c>
      <c r="I42" s="38" t="n"/>
      <c r="J42" s="38" t="n"/>
      <c r="K42" s="38" t="n"/>
      <c r="L42" s="182" t="inlineStr">
        <is>
          <t>PLAN</t>
        </is>
      </c>
      <c r="M42" s="97">
        <f>E41</f>
        <v/>
      </c>
      <c r="N42" s="98">
        <f>M42-I41</f>
        <v/>
      </c>
      <c r="O42" s="98">
        <f>N42-I41</f>
        <v/>
      </c>
      <c r="P42" s="98">
        <f>O42-I41</f>
        <v/>
      </c>
      <c r="Q42" s="98">
        <f>P42-I41</f>
        <v/>
      </c>
      <c r="R42" s="98">
        <f>Q42-I41</f>
        <v/>
      </c>
      <c r="S42" s="98">
        <f>R42-I41</f>
        <v/>
      </c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  <c r="AK42" s="98" t="n"/>
      <c r="AL42" s="98" t="n"/>
      <c r="AM42" s="98" t="n"/>
      <c r="AN42" s="98" t="n"/>
      <c r="AO42" s="98" t="n"/>
      <c r="AP42" s="98" t="n"/>
      <c r="AQ42" s="98" t="n"/>
      <c r="AR42" s="98" t="n"/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38" t="n"/>
      <c r="BV42" s="138" t="inlineStr">
        <is>
          <t>HORAS</t>
        </is>
      </c>
    </row>
    <row r="43" ht="23.1" customHeight="1" s="240"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182" t="inlineStr">
        <is>
          <t>ESTIMAR</t>
        </is>
      </c>
      <c r="M43" s="97">
        <f>E41</f>
        <v/>
      </c>
      <c r="N43" s="97">
        <f>M45</f>
        <v/>
      </c>
      <c r="O43" s="97">
        <f>N45</f>
        <v/>
      </c>
      <c r="P43" s="97">
        <f>O45</f>
        <v/>
      </c>
      <c r="Q43" s="97">
        <f>P45</f>
        <v/>
      </c>
      <c r="R43" s="97">
        <f>Q45</f>
        <v/>
      </c>
      <c r="S43" s="97">
        <f>R45</f>
        <v/>
      </c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  <c r="BH43" s="97" t="n"/>
      <c r="BI43" s="97" t="n"/>
      <c r="BJ43" s="97" t="n"/>
      <c r="BK43" s="97" t="n"/>
      <c r="BL43" s="97" t="n"/>
      <c r="BM43" s="97" t="n"/>
      <c r="BN43" s="97" t="n"/>
      <c r="BO43" s="97" t="n"/>
      <c r="BP43" s="97" t="n"/>
      <c r="BQ43" s="97" t="n"/>
      <c r="BR43" s="97" t="n"/>
      <c r="BS43" s="97" t="n"/>
      <c r="BT43" s="97" t="n"/>
      <c r="BU43" s="38" t="n"/>
      <c r="BV43" s="139">
        <f>SUM(M43:BT43)</f>
        <v/>
      </c>
    </row>
    <row r="44" ht="23.1" customHeight="1" s="240"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99" t="inlineStr">
        <is>
          <t>Introduzca las horas completadas por día ----&gt;</t>
        </is>
      </c>
      <c r="L44" s="182" t="inlineStr">
        <is>
          <t>HRS COMPLETADO</t>
        </is>
      </c>
      <c r="M44" s="76" t="n">
        <v>8</v>
      </c>
      <c r="N44" s="76" t="n">
        <v>12</v>
      </c>
      <c r="O44" s="76" t="n">
        <v>8</v>
      </c>
      <c r="P44" s="76" t="n">
        <v>9</v>
      </c>
      <c r="Q44" s="76" t="n">
        <v>4</v>
      </c>
      <c r="R44" s="76" t="n">
        <v>1</v>
      </c>
      <c r="S44" s="76" t="n">
        <v>10</v>
      </c>
      <c r="T44" s="76" t="n"/>
      <c r="U44" s="76" t="n"/>
      <c r="V44" s="76" t="n"/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  <c r="AH44" s="76" t="n"/>
      <c r="AI44" s="76" t="n"/>
      <c r="AJ44" s="76" t="n"/>
      <c r="AK44" s="76" t="n"/>
      <c r="AL44" s="76" t="n"/>
      <c r="AM44" s="76" t="n"/>
      <c r="AN44" s="76" t="n"/>
      <c r="AO44" s="76" t="n"/>
      <c r="AP44" s="76" t="n"/>
      <c r="AQ44" s="76" t="n"/>
      <c r="AR44" s="76" t="n"/>
      <c r="AS44" s="76" t="n"/>
      <c r="AT44" s="76" t="n"/>
      <c r="AU44" s="76" t="n"/>
      <c r="AV44" s="76" t="n"/>
      <c r="AW44" s="76" t="n"/>
      <c r="AX44" s="76" t="n"/>
      <c r="AY44" s="76" t="n"/>
      <c r="AZ44" s="76" t="n"/>
      <c r="BA44" s="76" t="n"/>
      <c r="BB44" s="76" t="n"/>
      <c r="BC44" s="76" t="n"/>
      <c r="BD44" s="76" t="n"/>
      <c r="BE44" s="76" t="n"/>
      <c r="BF44" s="76" t="n"/>
      <c r="BG44" s="76" t="n"/>
      <c r="BH44" s="76" t="n"/>
      <c r="BI44" s="76" t="n"/>
      <c r="BJ44" s="76" t="n"/>
      <c r="BK44" s="76" t="n"/>
      <c r="BL44" s="76" t="n"/>
      <c r="BM44" s="76" t="n"/>
      <c r="BN44" s="76" t="n"/>
      <c r="BO44" s="76" t="n"/>
      <c r="BP44" s="76" t="n"/>
      <c r="BQ44" s="76" t="n"/>
      <c r="BR44" s="76" t="n"/>
      <c r="BS44" s="76" t="n"/>
      <c r="BT44" s="76" t="n"/>
      <c r="BU44" s="38" t="n"/>
      <c r="BV44" s="140">
        <f>SUM(M44:BT44)</f>
        <v/>
      </c>
    </row>
    <row r="45" ht="23.1" customHeight="1" s="240"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182" t="inlineStr">
        <is>
          <t>HRS RESTANTE</t>
        </is>
      </c>
      <c r="M45" s="97">
        <f>M43-M44</f>
        <v/>
      </c>
      <c r="N45" s="97">
        <f>N43-N44</f>
        <v/>
      </c>
      <c r="O45" s="97">
        <f>O43-O44</f>
        <v/>
      </c>
      <c r="P45" s="97">
        <f>P43-P44</f>
        <v/>
      </c>
      <c r="Q45" s="97">
        <f>Q43-Q44</f>
        <v/>
      </c>
      <c r="R45" s="97">
        <f>R43-R44</f>
        <v/>
      </c>
      <c r="S45" s="97">
        <f>S43-S44</f>
        <v/>
      </c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  <c r="BJ45" s="97" t="n"/>
      <c r="BK45" s="97" t="n"/>
      <c r="BL45" s="97" t="n"/>
      <c r="BM45" s="97" t="n"/>
      <c r="BN45" s="97" t="n"/>
      <c r="BO45" s="97" t="n"/>
      <c r="BP45" s="97" t="n"/>
      <c r="BQ45" s="97" t="n"/>
      <c r="BR45" s="97" t="n"/>
      <c r="BS45" s="97" t="n"/>
      <c r="BT45" s="97" t="n"/>
      <c r="BU45" s="38" t="n"/>
      <c r="BV45" s="140">
        <f>SUM(M45:BT45)</f>
        <v/>
      </c>
    </row>
    <row r="46" ht="19.5" customHeight="1" s="240">
      <c r="C46" s="36" t="inlineStr">
        <is>
          <t>GRÁFICO DE BURNDOWN</t>
        </is>
      </c>
      <c r="I46" s="210" t="n"/>
    </row>
    <row r="47" ht="381.95" customHeight="1" s="240"/>
    <row r="48" ht="216.95" customHeight="1" s="240"/>
    <row r="49"/>
    <row r="50" ht="50.1" customHeight="1" s="240">
      <c r="B50" s="239" t="n"/>
    </row>
  </sheetData>
  <mergeCells count="23">
    <mergeCell ref="R8:V8"/>
    <mergeCell ref="B8:B9"/>
    <mergeCell ref="BA8:BE8"/>
    <mergeCell ref="AV8:AZ8"/>
    <mergeCell ref="L8:L9"/>
    <mergeCell ref="K3:K7"/>
    <mergeCell ref="BF8:BJ8"/>
    <mergeCell ref="BP8:BT8"/>
    <mergeCell ref="C8:C9"/>
    <mergeCell ref="I8:I9"/>
    <mergeCell ref="AQ8:AU8"/>
    <mergeCell ref="K8:K9"/>
    <mergeCell ref="BK8:BO8"/>
    <mergeCell ref="D8:D9"/>
    <mergeCell ref="B50:BV50"/>
    <mergeCell ref="AB8:AF8"/>
    <mergeCell ref="M8:Q8"/>
    <mergeCell ref="AL8:AP8"/>
    <mergeCell ref="W8:AA8"/>
    <mergeCell ref="H8:H9"/>
    <mergeCell ref="J8:J9"/>
    <mergeCell ref="E8:G8"/>
    <mergeCell ref="AG8:AK8"/>
  </mergeCells>
  <conditionalFormatting sqref="L10">
    <cfRule type="dataBar" priority="3">
      <dataBar>
        <cfvo type="percent" val="0"/>
        <cfvo type="percent" val="100"/>
        <color rgb="FF638EC6"/>
      </dataBar>
    </cfRule>
  </conditionalFormatting>
  <conditionalFormatting sqref="L10:L14">
    <cfRule type="dataBar" priority="16">
      <dataBar>
        <cfvo type="percent" val="1"/>
        <cfvo type="percent" val="100"/>
        <color theme="8" tint="0.5999938962981048"/>
      </dataBar>
    </cfRule>
  </conditionalFormatting>
  <conditionalFormatting sqref="L10:L39">
    <cfRule type="dataBar" priority="1">
      <dataBar>
        <cfvo type="min"/>
        <cfvo type="max"/>
        <color rgb="FF638EC6"/>
      </dataBar>
    </cfRule>
    <cfRule type="dataBar" priority="2">
      <dataBar>
        <cfvo type="num" val="0"/>
        <cfvo type="num" val="1"/>
        <color rgb="FF638EC6"/>
      </dataBar>
    </cfRule>
  </conditionalFormatting>
  <conditionalFormatting sqref="L15:L39">
    <cfRule type="dataBar" priority="4">
      <dataBar>
        <cfvo type="percent" val="1"/>
        <cfvo type="percent" val="100"/>
        <color theme="8" tint="0.5999938962981048"/>
      </dataBar>
    </cfRule>
  </conditionalFormatting>
  <pageMargins left="0.3" right="0.3" top="0.3" bottom="0.3" header="0" footer="0"/>
  <pageSetup orientation="landscape" scale="32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 fitToPage="1"/>
  </sheetPr>
  <dimension ref="A1:BV50"/>
  <sheetViews>
    <sheetView showGridLines="0" zoomScale="130" zoomScaleNormal="130" zoomScalePageLayoutView="70" workbookViewId="0">
      <pane ySplit="1" topLeftCell="A17" activePane="bottomLeft" state="frozen"/>
      <selection pane="bottomLeft" activeCell="C35" sqref="C35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34.37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5" customWidth="1" style="241" min="74" max="74"/>
    <col width="3.25" customWidth="1" style="240" min="75" max="75"/>
    <col width="11.125" customWidth="1" style="240" min="76" max="16384"/>
  </cols>
  <sheetData>
    <row r="1" ht="45" customHeight="1" s="240">
      <c r="A1" s="31" t="n"/>
      <c r="B1" s="32" t="inlineStr">
        <is>
          <t>Implementación de sistema de visión por computadora con CNN para diagnóstico de enfermedades en hojas de cultivos andinos en comunidades de Cusco</t>
        </is>
      </c>
      <c r="C1" s="33" t="n"/>
      <c r="D1" s="33" t="n"/>
      <c r="E1" s="33" t="n"/>
      <c r="F1" s="33" t="n"/>
      <c r="G1" s="33" t="n"/>
      <c r="H1" s="33" t="n"/>
      <c r="I1" s="33" t="n"/>
      <c r="J1" s="34" t="n"/>
      <c r="K1" s="34" t="n"/>
      <c r="L1" s="34" t="n"/>
      <c r="M1" s="34" t="n"/>
      <c r="N1" s="34" t="n"/>
      <c r="O1" s="34" t="n"/>
      <c r="P1" s="34" t="n"/>
    </row>
    <row r="2" ht="35.1" customFormat="1" customHeight="1" s="241" thickBot="1">
      <c r="B2" s="106" t="n"/>
      <c r="C2" s="37" t="n"/>
      <c r="D2" s="37" t="n"/>
      <c r="E2" s="37" t="n"/>
      <c r="F2" s="36" t="n"/>
      <c r="G2" s="37" t="n"/>
      <c r="H2" s="37" t="n"/>
      <c r="I2" s="37" t="n"/>
      <c r="J2" s="37" t="n"/>
      <c r="K2" s="37" t="n"/>
      <c r="L2" s="37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5" t="inlineStr">
        <is>
          <t>SPRINTS</t>
        </is>
      </c>
      <c r="L3" s="42" t="inlineStr">
        <is>
          <t>SPRINT 1</t>
        </is>
      </c>
      <c r="M3" s="43" t="n"/>
      <c r="N3" s="43" t="n"/>
      <c r="O3" s="43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6" t="n"/>
      <c r="BU3" s="38" t="n"/>
      <c r="BV3" s="39" t="n"/>
    </row>
    <row r="4" ht="23.1" customHeight="1" s="240"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246" t="n"/>
      <c r="L4" s="47" t="inlineStr">
        <is>
          <t>SPRINT 2</t>
        </is>
      </c>
      <c r="M4" s="48" t="n"/>
      <c r="N4" s="48" t="n"/>
      <c r="O4" s="48" t="n"/>
      <c r="P4" s="49" t="n"/>
      <c r="Q4" s="49" t="n"/>
      <c r="R4" s="49" t="n"/>
      <c r="S4" s="49" t="n"/>
      <c r="T4" s="49" t="n"/>
      <c r="U4" s="49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2" t="inlineStr">
        <is>
          <t>SPRINT 3</t>
        </is>
      </c>
      <c r="M5" s="48" t="n"/>
      <c r="N5" s="48" t="n"/>
      <c r="O5" s="48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6" t="n"/>
      <c r="L6" s="54" t="inlineStr">
        <is>
          <t>SPRINT 4</t>
        </is>
      </c>
      <c r="M6" s="48" t="n"/>
      <c r="N6" s="48" t="n"/>
      <c r="O6" s="48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 thickBot="1">
      <c r="B7" s="36" t="n"/>
      <c r="C7" s="37" t="n"/>
      <c r="D7" s="37" t="n"/>
      <c r="E7" s="37" t="n"/>
      <c r="F7" s="37" t="n"/>
      <c r="G7" s="37" t="n"/>
      <c r="H7" s="37" t="n"/>
      <c r="I7" s="36" t="n"/>
      <c r="J7" s="37" t="n"/>
      <c r="K7" s="247" t="n"/>
      <c r="L7" s="56" t="inlineStr">
        <is>
          <t>SPRINT 5</t>
        </is>
      </c>
      <c r="M7" s="48" t="n"/>
      <c r="N7" s="48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51" t="n"/>
      <c r="BU7" s="38" t="n"/>
      <c r="BV7" s="39" t="n"/>
    </row>
    <row r="8" ht="23.1" customHeight="1" s="240" thickBot="1">
      <c r="B8" s="262" t="inlineStr">
        <is>
          <t>ESTRUCTURA DE DESGLOSE DEL TRABAJO</t>
        </is>
      </c>
      <c r="C8" s="270" t="inlineStr">
        <is>
          <t>TÍTULO DE LA TAREA</t>
        </is>
      </c>
      <c r="D8" s="266" t="inlineStr">
        <is>
          <t>PROPIETARIO DE LA TAREA</t>
        </is>
      </c>
      <c r="E8" s="242" t="inlineStr">
        <is>
          <t>CANTIDAD DE TRABAJO EN HORAS</t>
        </is>
      </c>
      <c r="F8" s="243" t="n"/>
      <c r="G8" s="244" t="n"/>
      <c r="H8" s="264" t="inlineStr">
        <is>
          <t>CARRERA</t>
        </is>
      </c>
      <c r="I8" s="268" t="inlineStr">
        <is>
          <t>FECHA DE INICIO</t>
        </is>
      </c>
      <c r="J8" s="269" t="inlineStr">
        <is>
          <t>FECHA DE VENCIMIENTO</t>
        </is>
      </c>
      <c r="K8" s="248" t="inlineStr">
        <is>
          <t>DURACIÓN</t>
        </is>
      </c>
      <c r="L8" s="250" t="inlineStr">
        <is>
          <t>PCT DE TAREA COMPLETADA</t>
        </is>
      </c>
      <c r="M8" s="252" t="inlineStr">
        <is>
          <t>SEMANA 1</t>
        </is>
      </c>
      <c r="N8" s="253" t="n"/>
      <c r="O8" s="253" t="n"/>
      <c r="P8" s="253" t="n"/>
      <c r="Q8" s="254" t="n"/>
      <c r="R8" s="255" t="inlineStr">
        <is>
          <t>SEMANA 2</t>
        </is>
      </c>
      <c r="S8" s="253" t="n"/>
      <c r="T8" s="253" t="n"/>
      <c r="U8" s="253" t="n"/>
      <c r="V8" s="254" t="n"/>
      <c r="W8" s="255" t="inlineStr">
        <is>
          <t>SEMANA 3</t>
        </is>
      </c>
      <c r="X8" s="253" t="n"/>
      <c r="Y8" s="253" t="n"/>
      <c r="Z8" s="253" t="n"/>
      <c r="AA8" s="254" t="n"/>
      <c r="AB8" s="257" t="inlineStr">
        <is>
          <t>SEMANA 4</t>
        </is>
      </c>
      <c r="AC8" s="253" t="n"/>
      <c r="AD8" s="253" t="n"/>
      <c r="AE8" s="253" t="n"/>
      <c r="AF8" s="254" t="n"/>
      <c r="AG8" s="258" t="inlineStr">
        <is>
          <t>SEMANA 5</t>
        </is>
      </c>
      <c r="AH8" s="253" t="n"/>
      <c r="AI8" s="253" t="n"/>
      <c r="AJ8" s="253" t="n"/>
      <c r="AK8" s="254" t="n"/>
      <c r="AL8" s="258" t="inlineStr">
        <is>
          <t>SEMANA 6</t>
        </is>
      </c>
      <c r="AM8" s="253" t="n"/>
      <c r="AN8" s="253" t="n"/>
      <c r="AO8" s="253" t="n"/>
      <c r="AP8" s="254" t="n"/>
      <c r="AQ8" s="256" t="inlineStr">
        <is>
          <t>SEMANA 7</t>
        </is>
      </c>
      <c r="AR8" s="253" t="n"/>
      <c r="AS8" s="253" t="n"/>
      <c r="AT8" s="253" t="n"/>
      <c r="AU8" s="254" t="n"/>
      <c r="AV8" s="259" t="inlineStr">
        <is>
          <t>SEMANA 8</t>
        </is>
      </c>
      <c r="AW8" s="253" t="n"/>
      <c r="AX8" s="253" t="n"/>
      <c r="AY8" s="253" t="n"/>
      <c r="AZ8" s="254" t="n"/>
      <c r="BA8" s="259" t="inlineStr">
        <is>
          <t>SEMANA 9</t>
        </is>
      </c>
      <c r="BB8" s="253" t="n"/>
      <c r="BC8" s="253" t="n"/>
      <c r="BD8" s="253" t="n"/>
      <c r="BE8" s="254" t="n"/>
      <c r="BF8" s="260" t="inlineStr">
        <is>
          <t>SEMANA 10</t>
        </is>
      </c>
      <c r="BG8" s="253" t="n"/>
      <c r="BH8" s="253" t="n"/>
      <c r="BI8" s="253" t="n"/>
      <c r="BJ8" s="254" t="n"/>
      <c r="BK8" s="261" t="n"/>
      <c r="BL8" s="253" t="n"/>
      <c r="BM8" s="253" t="n"/>
      <c r="BN8" s="253" t="n"/>
      <c r="BO8" s="254" t="n"/>
      <c r="BP8" s="261" t="n"/>
      <c r="BQ8" s="253" t="n"/>
      <c r="BR8" s="253" t="n"/>
      <c r="BS8" s="253" t="n"/>
      <c r="BT8" s="254" t="n"/>
      <c r="BU8" s="38" t="n"/>
      <c r="BV8" s="39" t="n"/>
    </row>
    <row r="9" ht="23.1" customHeight="1" s="240" thickBot="1" thickTop="1">
      <c r="B9" s="263" t="n"/>
      <c r="C9" s="271" t="n"/>
      <c r="D9" s="267" t="n"/>
      <c r="E9" s="58" t="inlineStr">
        <is>
          <t>ESTIMAR</t>
        </is>
      </c>
      <c r="F9" s="59" t="inlineStr">
        <is>
          <t>COMPLETADO</t>
        </is>
      </c>
      <c r="G9" s="60" t="inlineStr">
        <is>
          <t>RESTANTE</t>
        </is>
      </c>
      <c r="H9" s="265" t="n"/>
      <c r="I9" s="254" t="n"/>
      <c r="J9" s="249" t="n"/>
      <c r="K9" s="249" t="n"/>
      <c r="L9" s="251" t="n"/>
      <c r="M9" s="61" t="inlineStr">
        <is>
          <t>M</t>
        </is>
      </c>
      <c r="N9" s="62" t="inlineStr">
        <is>
          <t>T</t>
        </is>
      </c>
      <c r="O9" s="62" t="inlineStr">
        <is>
          <t>W</t>
        </is>
      </c>
      <c r="P9" s="62" t="inlineStr">
        <is>
          <t>R</t>
        </is>
      </c>
      <c r="Q9" s="62" t="inlineStr">
        <is>
          <t>F</t>
        </is>
      </c>
      <c r="R9" s="62" t="inlineStr">
        <is>
          <t>M</t>
        </is>
      </c>
      <c r="S9" s="62" t="inlineStr">
        <is>
          <t>T</t>
        </is>
      </c>
      <c r="T9" s="62" t="inlineStr">
        <is>
          <t>W</t>
        </is>
      </c>
      <c r="U9" s="62" t="inlineStr">
        <is>
          <t>R</t>
        </is>
      </c>
      <c r="V9" s="62" t="inlineStr">
        <is>
          <t>F</t>
        </is>
      </c>
      <c r="W9" s="62" t="inlineStr">
        <is>
          <t>M</t>
        </is>
      </c>
      <c r="X9" s="62" t="inlineStr">
        <is>
          <t>T</t>
        </is>
      </c>
      <c r="Y9" s="62" t="inlineStr">
        <is>
          <t>W</t>
        </is>
      </c>
      <c r="Z9" s="62" t="inlineStr">
        <is>
          <t>R</t>
        </is>
      </c>
      <c r="AA9" s="63" t="inlineStr">
        <is>
          <t>F</t>
        </is>
      </c>
      <c r="AB9" s="64" t="inlineStr">
        <is>
          <t>M</t>
        </is>
      </c>
      <c r="AC9" s="65" t="inlineStr">
        <is>
          <t>T</t>
        </is>
      </c>
      <c r="AD9" s="65" t="inlineStr">
        <is>
          <t>W</t>
        </is>
      </c>
      <c r="AE9" s="65" t="inlineStr">
        <is>
          <t>R</t>
        </is>
      </c>
      <c r="AF9" s="65" t="inlineStr">
        <is>
          <t>F</t>
        </is>
      </c>
      <c r="AG9" s="65" t="inlineStr">
        <is>
          <t>M</t>
        </is>
      </c>
      <c r="AH9" s="65" t="inlineStr">
        <is>
          <t>T</t>
        </is>
      </c>
      <c r="AI9" s="65" t="inlineStr">
        <is>
          <t>W</t>
        </is>
      </c>
      <c r="AJ9" s="65" t="inlineStr">
        <is>
          <t>R</t>
        </is>
      </c>
      <c r="AK9" s="65" t="inlineStr">
        <is>
          <t>F</t>
        </is>
      </c>
      <c r="AL9" s="65" t="inlineStr">
        <is>
          <t>M</t>
        </is>
      </c>
      <c r="AM9" s="65" t="inlineStr">
        <is>
          <t>T</t>
        </is>
      </c>
      <c r="AN9" s="65" t="inlineStr">
        <is>
          <t>W</t>
        </is>
      </c>
      <c r="AO9" s="65" t="inlineStr">
        <is>
          <t>R</t>
        </is>
      </c>
      <c r="AP9" s="66" t="inlineStr">
        <is>
          <t>F</t>
        </is>
      </c>
      <c r="AQ9" s="67" t="inlineStr">
        <is>
          <t>M</t>
        </is>
      </c>
      <c r="AR9" s="68" t="inlineStr">
        <is>
          <t>T</t>
        </is>
      </c>
      <c r="AS9" s="68" t="inlineStr">
        <is>
          <t>W</t>
        </is>
      </c>
      <c r="AT9" s="68" t="inlineStr">
        <is>
          <t>R</t>
        </is>
      </c>
      <c r="AU9" s="68" t="inlineStr">
        <is>
          <t>F</t>
        </is>
      </c>
      <c r="AV9" s="68" t="inlineStr">
        <is>
          <t>M</t>
        </is>
      </c>
      <c r="AW9" s="68" t="inlineStr">
        <is>
          <t>T</t>
        </is>
      </c>
      <c r="AX9" s="68" t="inlineStr">
        <is>
          <t>W</t>
        </is>
      </c>
      <c r="AY9" s="68" t="inlineStr">
        <is>
          <t>R</t>
        </is>
      </c>
      <c r="AZ9" s="68" t="inlineStr">
        <is>
          <t>F</t>
        </is>
      </c>
      <c r="BA9" s="68" t="inlineStr">
        <is>
          <t>M</t>
        </is>
      </c>
      <c r="BB9" s="68" t="inlineStr">
        <is>
          <t>T</t>
        </is>
      </c>
      <c r="BC9" s="68" t="inlineStr">
        <is>
          <t>W</t>
        </is>
      </c>
      <c r="BD9" s="68" t="inlineStr">
        <is>
          <t>R</t>
        </is>
      </c>
      <c r="BE9" s="69" t="inlineStr">
        <is>
          <t>F</t>
        </is>
      </c>
      <c r="BF9" s="70" t="inlineStr">
        <is>
          <t>M</t>
        </is>
      </c>
      <c r="BG9" s="71" t="inlineStr">
        <is>
          <t>T</t>
        </is>
      </c>
      <c r="BH9" s="71" t="inlineStr">
        <is>
          <t>W</t>
        </is>
      </c>
      <c r="BI9" s="71" t="inlineStr">
        <is>
          <t>R</t>
        </is>
      </c>
      <c r="BJ9" s="71" t="inlineStr">
        <is>
          <t>F</t>
        </is>
      </c>
      <c r="BK9" s="188" t="n"/>
      <c r="BL9" s="188" t="n"/>
      <c r="BM9" s="188" t="n"/>
      <c r="BN9" s="188" t="n"/>
      <c r="BO9" s="188" t="n"/>
      <c r="BP9" s="188" t="n"/>
      <c r="BQ9" s="188" t="n"/>
      <c r="BR9" s="188" t="n"/>
      <c r="BS9" s="188" t="n"/>
      <c r="BT9" s="189" t="n"/>
      <c r="BU9" s="38" t="n"/>
      <c r="BV9" s="39" t="n"/>
    </row>
    <row r="10" ht="23.1" customHeight="1" s="240" thickTop="1">
      <c r="B10" s="202" t="n">
        <v>1</v>
      </c>
      <c r="C10" s="203" t="inlineStr">
        <is>
          <t>HU-6: Detección de cultivo (12h)</t>
        </is>
      </c>
      <c r="D10" s="204" t="n"/>
      <c r="E10" s="197">
        <f>SUM(E11:E14)</f>
        <v/>
      </c>
      <c r="F10" s="198">
        <f>SUM(F11:F14)</f>
        <v/>
      </c>
      <c r="G10" s="199">
        <f>SUM(G11:G14)</f>
        <v/>
      </c>
      <c r="H10" s="205" t="n"/>
      <c r="I10" s="206" t="n">
        <v>46285</v>
      </c>
      <c r="J10" s="206" t="n">
        <v>46291</v>
      </c>
      <c r="K10" s="207">
        <f>J10-I10+1</f>
        <v/>
      </c>
      <c r="L10" s="201">
        <f>IFERROR(F10/E10,"")</f>
        <v/>
      </c>
      <c r="M10" s="73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5" t="n"/>
      <c r="AB10" s="73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5" t="n"/>
      <c r="AQ10" s="73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5" t="n"/>
      <c r="BF10" s="73" t="n"/>
      <c r="BG10" s="74" t="n"/>
      <c r="BH10" s="74" t="n"/>
      <c r="BI10" s="74" t="n"/>
      <c r="BJ10" s="74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81" t="n"/>
      <c r="BU10" s="38" t="n"/>
      <c r="BV10" s="39" t="n"/>
    </row>
    <row r="11" ht="23.1" customHeight="1" s="240">
      <c r="B11" s="150" t="inlineStr">
        <is>
          <t>1.1</t>
        </is>
      </c>
      <c r="C11" t="inlineStr">
        <is>
          <t>Implementar clasificación multiclase (papa/maíz/quinua).</t>
        </is>
      </c>
      <c r="D11" s="152" t="inlineStr">
        <is>
          <t>Yersson</t>
        </is>
      </c>
      <c r="E11" s="153" t="n">
        <v>6</v>
      </c>
      <c r="F11" s="154" t="n">
        <v>6</v>
      </c>
      <c r="G11" s="155">
        <f>E11-F11</f>
        <v/>
      </c>
      <c r="H11" s="156" t="n"/>
      <c r="I11" s="211" t="n"/>
      <c r="J11" s="211" t="n"/>
      <c r="K11" s="213" t="n"/>
      <c r="L11" s="201">
        <f>IFERROR(F11/E11,"")</f>
        <v/>
      </c>
      <c r="M11" s="77" t="n"/>
      <c r="N11" s="78" t="n"/>
      <c r="O11" s="78" t="n"/>
      <c r="P11" s="78" t="n"/>
      <c r="Q11" s="79" t="n"/>
      <c r="R11" s="79" t="n"/>
      <c r="S11" s="79" t="n"/>
      <c r="T11" s="79" t="n"/>
      <c r="U11" s="80" t="n"/>
      <c r="V11" s="80" t="n"/>
      <c r="W11" s="78" t="n"/>
      <c r="X11" s="78" t="n"/>
      <c r="Y11" s="78" t="n"/>
      <c r="Z11" s="78" t="n"/>
      <c r="AA11" s="81" t="n"/>
      <c r="AB11" s="77" t="n"/>
      <c r="AC11" s="78" t="n"/>
      <c r="AD11" s="78" t="n"/>
      <c r="AE11" s="78" t="n"/>
      <c r="AF11" s="78" t="n"/>
      <c r="AG11" s="82" t="n"/>
      <c r="AH11" s="82" t="n"/>
      <c r="AI11" s="82" t="n"/>
      <c r="AJ11" s="82" t="n"/>
      <c r="AK11" s="82" t="n"/>
      <c r="AL11" s="78" t="n"/>
      <c r="AM11" s="78" t="n"/>
      <c r="AN11" s="78" t="n"/>
      <c r="AO11" s="78" t="n"/>
      <c r="AP11" s="81" t="n"/>
      <c r="AQ11" s="77" t="n"/>
      <c r="AR11" s="78" t="n"/>
      <c r="AS11" s="78" t="n"/>
      <c r="AT11" s="78" t="n"/>
      <c r="AU11" s="78" t="n"/>
      <c r="AV11" s="83" t="n"/>
      <c r="AW11" s="83" t="n"/>
      <c r="AX11" s="83" t="n"/>
      <c r="AY11" s="83" t="n"/>
      <c r="AZ11" s="83" t="n"/>
      <c r="BA11" s="78" t="n"/>
      <c r="BB11" s="78" t="n"/>
      <c r="BC11" s="78" t="n"/>
      <c r="BD11" s="78" t="n"/>
      <c r="BE11" s="81" t="n"/>
      <c r="BF11" s="77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81" t="n"/>
      <c r="BU11" s="38" t="n"/>
      <c r="BV11" s="39" t="n"/>
    </row>
    <row r="12" ht="23.1" customHeight="1" s="240">
      <c r="B12" s="150" t="inlineStr">
        <is>
          <t>1.2</t>
        </is>
      </c>
      <c r="C12" t="inlineStr">
        <is>
          <t>Entrenar CNN ampliada.</t>
        </is>
      </c>
      <c r="D12" s="152" t="inlineStr">
        <is>
          <t>Yersson</t>
        </is>
      </c>
      <c r="E12" s="153" t="n">
        <v>2</v>
      </c>
      <c r="F12" s="154" t="n">
        <v>2</v>
      </c>
      <c r="G12" s="155">
        <f>E12-F12</f>
        <v/>
      </c>
      <c r="H12" s="163" t="n"/>
      <c r="I12" s="211" t="n"/>
      <c r="J12" s="211" t="n"/>
      <c r="K12" s="213" t="n"/>
      <c r="L12" s="201">
        <f>IFERROR(F12/E12,"")</f>
        <v/>
      </c>
      <c r="M12" s="77" t="n"/>
      <c r="N12" s="78" t="n"/>
      <c r="O12" s="78" t="n"/>
      <c r="P12" s="78" t="n"/>
      <c r="Q12" s="78" t="n"/>
      <c r="R12" s="80" t="n"/>
      <c r="S12" s="80" t="n"/>
      <c r="T12" s="79" t="n"/>
      <c r="U12" s="79" t="n"/>
      <c r="V12" s="80" t="n"/>
      <c r="W12" s="78" t="n"/>
      <c r="X12" s="78" t="n"/>
      <c r="Y12" s="78" t="n"/>
      <c r="Z12" s="78" t="n"/>
      <c r="AA12" s="81" t="n"/>
      <c r="AB12" s="77" t="n"/>
      <c r="AC12" s="78" t="n"/>
      <c r="AD12" s="78" t="n"/>
      <c r="AE12" s="78" t="n"/>
      <c r="AF12" s="78" t="n"/>
      <c r="AG12" s="82" t="n"/>
      <c r="AH12" s="82" t="n"/>
      <c r="AI12" s="82" t="n"/>
      <c r="AJ12" s="82" t="n"/>
      <c r="AK12" s="82" t="n"/>
      <c r="AL12" s="78" t="n"/>
      <c r="AM12" s="78" t="n"/>
      <c r="AN12" s="78" t="n"/>
      <c r="AO12" s="78" t="n"/>
      <c r="AP12" s="81" t="n"/>
      <c r="AQ12" s="77" t="n"/>
      <c r="AR12" s="78" t="n"/>
      <c r="AS12" s="78" t="n"/>
      <c r="AT12" s="78" t="n"/>
      <c r="AU12" s="78" t="n"/>
      <c r="AV12" s="83" t="n"/>
      <c r="AW12" s="83" t="n"/>
      <c r="AX12" s="83" t="n"/>
      <c r="AY12" s="83" t="n"/>
      <c r="AZ12" s="83" t="n"/>
      <c r="BA12" s="78" t="n"/>
      <c r="BB12" s="78" t="n"/>
      <c r="BC12" s="78" t="n"/>
      <c r="BD12" s="78" t="n"/>
      <c r="BE12" s="81" t="n"/>
      <c r="BF12" s="77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81" t="n"/>
      <c r="BU12" s="38" t="n"/>
      <c r="BV12" s="39" t="n"/>
    </row>
    <row r="13" ht="23.1" customHeight="1" s="240">
      <c r="B13" s="150" t="inlineStr">
        <is>
          <t>1.3</t>
        </is>
      </c>
      <c r="C13" t="inlineStr">
        <is>
          <t>Validar precisión por cultivo.</t>
        </is>
      </c>
      <c r="D13" s="152" t="inlineStr">
        <is>
          <t>Yersson</t>
        </is>
      </c>
      <c r="E13" s="153" t="n">
        <v>2</v>
      </c>
      <c r="F13" s="154" t="n">
        <v>2</v>
      </c>
      <c r="G13" s="155">
        <f>E13-F13</f>
        <v/>
      </c>
      <c r="H13" s="156" t="n"/>
      <c r="I13" s="211" t="n"/>
      <c r="J13" s="211" t="n"/>
      <c r="K13" s="213" t="n"/>
      <c r="L13" s="201">
        <f>IFERROR(F13/E13,"")</f>
        <v/>
      </c>
      <c r="M13" s="77" t="n"/>
      <c r="N13" s="78" t="n"/>
      <c r="O13" s="78" t="n"/>
      <c r="P13" s="78" t="n"/>
      <c r="Q13" s="78" t="n"/>
      <c r="R13" s="80" t="n"/>
      <c r="S13" s="80" t="n"/>
      <c r="T13" s="79" t="n"/>
      <c r="U13" s="79" t="n"/>
      <c r="V13" s="79" t="n"/>
      <c r="W13" s="79" t="n"/>
      <c r="X13" s="79" t="n"/>
      <c r="Y13" s="79" t="n"/>
      <c r="Z13" s="79" t="n"/>
      <c r="AA13" s="81" t="n"/>
      <c r="AB13" s="77" t="n"/>
      <c r="AC13" s="78" t="n"/>
      <c r="AD13" s="78" t="n"/>
      <c r="AE13" s="78" t="n"/>
      <c r="AF13" s="78" t="n"/>
      <c r="AG13" s="82" t="n"/>
      <c r="AH13" s="82" t="n"/>
      <c r="AI13" s="82" t="n"/>
      <c r="AJ13" s="82" t="n"/>
      <c r="AK13" s="82" t="n"/>
      <c r="AL13" s="78" t="n"/>
      <c r="AM13" s="78" t="n"/>
      <c r="AN13" s="78" t="n"/>
      <c r="AO13" s="78" t="n"/>
      <c r="AP13" s="81" t="n"/>
      <c r="AQ13" s="77" t="n"/>
      <c r="AR13" s="78" t="n"/>
      <c r="AS13" s="78" t="n"/>
      <c r="AT13" s="78" t="n"/>
      <c r="AU13" s="78" t="n"/>
      <c r="AV13" s="83" t="n"/>
      <c r="AW13" s="83" t="n"/>
      <c r="AX13" s="83" t="n"/>
      <c r="AY13" s="83" t="n"/>
      <c r="AZ13" s="83" t="n"/>
      <c r="BA13" s="78" t="n"/>
      <c r="BB13" s="78" t="n"/>
      <c r="BC13" s="78" t="n"/>
      <c r="BD13" s="78" t="n"/>
      <c r="BE13" s="81" t="n"/>
      <c r="BF13" s="77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81" t="n"/>
      <c r="BU13" s="38" t="n"/>
      <c r="BV13" s="39" t="n"/>
    </row>
    <row r="14" ht="23.1" customHeight="1" s="240">
      <c r="B14" s="150" t="inlineStr">
        <is>
          <t>1.4</t>
        </is>
      </c>
      <c r="C14" t="inlineStr">
        <is>
          <t>Guardar pesos entrenados.</t>
        </is>
      </c>
      <c r="D14" s="152" t="inlineStr">
        <is>
          <t>Yersson</t>
        </is>
      </c>
      <c r="E14" s="153" t="n">
        <v>2</v>
      </c>
      <c r="F14" s="154" t="n">
        <v>2</v>
      </c>
      <c r="G14" s="155">
        <f>E14-F14</f>
        <v/>
      </c>
      <c r="H14" s="156" t="n"/>
      <c r="I14" s="211" t="n"/>
      <c r="J14" s="211" t="n"/>
      <c r="K14" s="213" t="n"/>
      <c r="L14" s="201">
        <f>IFERROR(F14/E14,"")</f>
        <v/>
      </c>
      <c r="M14" s="77" t="n"/>
      <c r="N14" s="78" t="n"/>
      <c r="O14" s="78" t="n"/>
      <c r="P14" s="78" t="n"/>
      <c r="Q14" s="78" t="n"/>
      <c r="R14" s="80" t="n"/>
      <c r="S14" s="80" t="n"/>
      <c r="T14" s="80" t="n"/>
      <c r="U14" s="79" t="n"/>
      <c r="V14" s="79" t="n"/>
      <c r="W14" s="79" t="n"/>
      <c r="X14" s="79" t="n"/>
      <c r="Y14" s="79" t="n"/>
      <c r="Z14" s="79" t="n"/>
      <c r="AA14" s="81" t="n"/>
      <c r="AB14" s="77" t="n"/>
      <c r="AC14" s="78" t="n"/>
      <c r="AD14" s="78" t="n"/>
      <c r="AE14" s="78" t="n"/>
      <c r="AF14" s="78" t="n"/>
      <c r="AG14" s="82" t="n"/>
      <c r="AH14" s="82" t="n"/>
      <c r="AI14" s="82" t="n"/>
      <c r="AJ14" s="82" t="n"/>
      <c r="AK14" s="82" t="n"/>
      <c r="AL14" s="78" t="n"/>
      <c r="AM14" s="78" t="n"/>
      <c r="AN14" s="78" t="n"/>
      <c r="AO14" s="78" t="n"/>
      <c r="AP14" s="81" t="n"/>
      <c r="AQ14" s="77" t="n"/>
      <c r="AR14" s="78" t="n"/>
      <c r="AS14" s="78" t="n"/>
      <c r="AT14" s="78" t="n"/>
      <c r="AU14" s="78" t="n"/>
      <c r="AV14" s="83" t="n"/>
      <c r="AW14" s="83" t="n"/>
      <c r="AX14" s="83" t="n"/>
      <c r="AY14" s="83" t="n"/>
      <c r="AZ14" s="83" t="n"/>
      <c r="BA14" s="78" t="n"/>
      <c r="BB14" s="78" t="n"/>
      <c r="BC14" s="78" t="n"/>
      <c r="BD14" s="78" t="n"/>
      <c r="BE14" s="81" t="n"/>
      <c r="BF14" s="77" t="n"/>
      <c r="BG14" s="78" t="n"/>
      <c r="BH14" s="78" t="n"/>
      <c r="BI14" s="78" t="n"/>
      <c r="BJ14" s="78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81" t="n"/>
      <c r="BU14" s="38" t="n"/>
      <c r="BV14" s="39" t="n"/>
    </row>
    <row r="15" ht="23.1" customHeight="1" s="240">
      <c r="B15" s="194" t="inlineStr">
        <is>
          <t>2</t>
        </is>
      </c>
      <c r="C15" s="195" t="inlineStr">
        <is>
          <t>HU-7: Diagnóstico específico por enfermedad (16h)</t>
        </is>
      </c>
      <c r="D15" s="196" t="n"/>
      <c r="E15" s="197">
        <f>SUM(E16:E19)</f>
        <v/>
      </c>
      <c r="F15" s="198">
        <f>SUM(F16:F19)</f>
        <v/>
      </c>
      <c r="G15" s="199">
        <f>SUM(G16:G19)</f>
        <v/>
      </c>
      <c r="H15" s="200" t="n"/>
      <c r="I15" s="206" t="n">
        <v>46285</v>
      </c>
      <c r="J15" s="206" t="n">
        <v>46291</v>
      </c>
      <c r="K15" s="207">
        <f>J15-I15+1</f>
        <v/>
      </c>
      <c r="L15" s="201">
        <f>IFERROR(F15/E15,"")</f>
        <v/>
      </c>
      <c r="M15" s="73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5" t="n"/>
      <c r="AB15" s="73" t="n"/>
      <c r="AC15" s="74" t="n"/>
      <c r="AD15" s="74" t="n"/>
      <c r="AE15" s="74" t="n"/>
      <c r="AF15" s="7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5" t="n"/>
      <c r="AQ15" s="73" t="n"/>
      <c r="AR15" s="74" t="n"/>
      <c r="AS15" s="74" t="n"/>
      <c r="AT15" s="74" t="n"/>
      <c r="AU15" s="74" t="n"/>
      <c r="AV15" s="74" t="n"/>
      <c r="AW15" s="74" t="n"/>
      <c r="AX15" s="74" t="n"/>
      <c r="AY15" s="74" t="n"/>
      <c r="AZ15" s="74" t="n"/>
      <c r="BA15" s="74" t="n"/>
      <c r="BB15" s="74" t="n"/>
      <c r="BC15" s="74" t="n"/>
      <c r="BD15" s="74" t="n"/>
      <c r="BE15" s="75" t="n"/>
      <c r="BF15" s="73" t="n"/>
      <c r="BG15" s="74" t="n"/>
      <c r="BH15" s="74" t="n"/>
      <c r="BI15" s="74" t="n"/>
      <c r="BJ15" s="74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81" t="n"/>
      <c r="BU15" s="38" t="n"/>
      <c r="BV15" s="39" t="n"/>
    </row>
    <row r="16" ht="23.1" customHeight="1" s="240">
      <c r="B16" s="150" t="n">
        <v>2.1</v>
      </c>
      <c r="C16" t="inlineStr">
        <is>
          <t>Ampliar clases a enfermedades comunes (ej. tizón, mildiu).</t>
        </is>
      </c>
      <c r="D16" s="152" t="inlineStr">
        <is>
          <t>Yersson</t>
        </is>
      </c>
      <c r="E16" s="153" t="n">
        <v>7</v>
      </c>
      <c r="F16" s="154" t="n">
        <v>7</v>
      </c>
      <c r="G16" s="155">
        <f>E16-F16</f>
        <v/>
      </c>
      <c r="H16" s="156" t="n"/>
      <c r="I16" s="187" t="n"/>
      <c r="J16" s="187" t="n"/>
      <c r="K16" s="213" t="n"/>
      <c r="L16" s="201">
        <f>IFERROR(F16/E16,"")</f>
        <v/>
      </c>
      <c r="M16" s="77" t="n"/>
      <c r="N16" s="78" t="n"/>
      <c r="O16" s="78" t="n"/>
      <c r="P16" s="78" t="n"/>
      <c r="Q16" s="78" t="n"/>
      <c r="R16" s="80" t="n"/>
      <c r="S16" s="80" t="n"/>
      <c r="T16" s="80" t="n"/>
      <c r="U16" s="80" t="n"/>
      <c r="V16" s="80" t="n"/>
      <c r="W16" s="78" t="n"/>
      <c r="X16" s="78" t="n"/>
      <c r="Y16" s="78" t="n"/>
      <c r="Z16" s="78" t="n"/>
      <c r="AA16" s="81" t="n"/>
      <c r="AB16" s="84" t="n"/>
      <c r="AC16" s="85" t="n"/>
      <c r="AD16" s="85" t="n"/>
      <c r="AE16" s="85" t="n"/>
      <c r="AF16" s="85" t="n"/>
      <c r="AG16" s="82" t="n"/>
      <c r="AH16" s="82" t="n"/>
      <c r="AI16" s="82" t="n"/>
      <c r="AJ16" s="82" t="n"/>
      <c r="AK16" s="82" t="n"/>
      <c r="AL16" s="78" t="n"/>
      <c r="AM16" s="78" t="n"/>
      <c r="AN16" s="78" t="n"/>
      <c r="AO16" s="78" t="n"/>
      <c r="AP16" s="81" t="n"/>
      <c r="AQ16" s="77" t="n"/>
      <c r="AR16" s="78" t="n"/>
      <c r="AS16" s="78" t="n"/>
      <c r="AT16" s="78" t="n"/>
      <c r="AU16" s="78" t="n"/>
      <c r="AV16" s="83" t="n"/>
      <c r="AW16" s="83" t="n"/>
      <c r="AX16" s="83" t="n"/>
      <c r="AY16" s="83" t="n"/>
      <c r="AZ16" s="83" t="n"/>
      <c r="BA16" s="78" t="n"/>
      <c r="BB16" s="78" t="n"/>
      <c r="BC16" s="78" t="n"/>
      <c r="BD16" s="78" t="n"/>
      <c r="BE16" s="81" t="n"/>
      <c r="BF16" s="77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81" t="n"/>
      <c r="BU16" s="38" t="n"/>
      <c r="BV16" s="39" t="n"/>
    </row>
    <row r="17" ht="23.1" customHeight="1" s="240">
      <c r="B17" s="150" t="n">
        <v>2.2</v>
      </c>
      <c r="C17" t="inlineStr">
        <is>
          <t>Entrenar modelo con dataset etiquetado.</t>
        </is>
      </c>
      <c r="D17" s="152" t="inlineStr">
        <is>
          <t>Yersson</t>
        </is>
      </c>
      <c r="E17" s="153" t="n">
        <v>3</v>
      </c>
      <c r="F17" s="154" t="n">
        <v>3</v>
      </c>
      <c r="G17" s="155">
        <f>E17-F17</f>
        <v/>
      </c>
      <c r="H17" s="156" t="n"/>
      <c r="I17" s="187" t="n"/>
      <c r="J17" s="187" t="n"/>
      <c r="K17" s="213" t="n"/>
      <c r="L17" s="201">
        <f>IFERROR(F17/E17,"")</f>
        <v/>
      </c>
      <c r="M17" s="77" t="n"/>
      <c r="N17" s="78" t="n"/>
      <c r="O17" s="78" t="n"/>
      <c r="P17" s="78" t="n"/>
      <c r="Q17" s="78" t="n"/>
      <c r="R17" s="80" t="n"/>
      <c r="S17" s="80" t="n"/>
      <c r="T17" s="80" t="n"/>
      <c r="U17" s="80" t="n"/>
      <c r="V17" s="80" t="n"/>
      <c r="W17" s="78" t="n"/>
      <c r="X17" s="78" t="n"/>
      <c r="Y17" s="78" t="n"/>
      <c r="Z17" s="78" t="n"/>
      <c r="AA17" s="81" t="n"/>
      <c r="AB17" s="77" t="n"/>
      <c r="AC17" s="78" t="n"/>
      <c r="AD17" s="78" t="n"/>
      <c r="AE17" s="78" t="n"/>
      <c r="AF17" s="78" t="n"/>
      <c r="AG17" s="85" t="n"/>
      <c r="AH17" s="85" t="n"/>
      <c r="AI17" s="85" t="n"/>
      <c r="AJ17" s="85" t="n"/>
      <c r="AK17" s="85" t="n"/>
      <c r="AL17" s="78" t="n"/>
      <c r="AM17" s="78" t="n"/>
      <c r="AN17" s="78" t="n"/>
      <c r="AO17" s="78" t="n"/>
      <c r="AP17" s="81" t="n"/>
      <c r="AQ17" s="77" t="n"/>
      <c r="AR17" s="78" t="n"/>
      <c r="AS17" s="78" t="n"/>
      <c r="AT17" s="78" t="n"/>
      <c r="AU17" s="78" t="n"/>
      <c r="AV17" s="83" t="n"/>
      <c r="AW17" s="83" t="n"/>
      <c r="AX17" s="83" t="n"/>
      <c r="AY17" s="83" t="n"/>
      <c r="AZ17" s="83" t="n"/>
      <c r="BA17" s="78" t="n"/>
      <c r="BB17" s="78" t="n"/>
      <c r="BC17" s="78" t="n"/>
      <c r="BD17" s="78" t="n"/>
      <c r="BE17" s="81" t="n"/>
      <c r="BF17" s="77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81" t="n"/>
      <c r="BU17" s="38" t="n"/>
      <c r="BV17" s="39" t="n"/>
    </row>
    <row r="18" ht="23.1" customHeight="1" s="240">
      <c r="B18" s="150" t="n">
        <v>2.3</v>
      </c>
      <c r="C18" t="inlineStr">
        <is>
          <t>Validar métricas de precisión por enfermedad.</t>
        </is>
      </c>
      <c r="D18" s="152" t="inlineStr">
        <is>
          <t>Yersson</t>
        </is>
      </c>
      <c r="E18" s="153" t="n">
        <v>3</v>
      </c>
      <c r="F18" s="154" t="n">
        <v>3</v>
      </c>
      <c r="G18" s="155">
        <f>E18-F18</f>
        <v/>
      </c>
      <c r="H18" s="156" t="n"/>
      <c r="I18" s="187" t="n"/>
      <c r="J18" s="187" t="n"/>
      <c r="K18" s="213" t="n"/>
      <c r="L18" s="201">
        <f>IFERROR(F18/E18,"")</f>
        <v/>
      </c>
      <c r="M18" s="77" t="n"/>
      <c r="N18" s="78" t="n"/>
      <c r="O18" s="78" t="n"/>
      <c r="P18" s="78" t="n"/>
      <c r="Q18" s="78" t="n"/>
      <c r="R18" s="80" t="n"/>
      <c r="S18" s="80" t="n"/>
      <c r="T18" s="80" t="n"/>
      <c r="U18" s="80" t="n"/>
      <c r="V18" s="80" t="n"/>
      <c r="W18" s="78" t="n"/>
      <c r="X18" s="78" t="n"/>
      <c r="Y18" s="78" t="n"/>
      <c r="Z18" s="78" t="n"/>
      <c r="AA18" s="81" t="n"/>
      <c r="AB18" s="77" t="n"/>
      <c r="AC18" s="78" t="n"/>
      <c r="AD18" s="78" t="n"/>
      <c r="AE18" s="78" t="n"/>
      <c r="AF18" s="78" t="n"/>
      <c r="AG18" s="82" t="n"/>
      <c r="AH18" s="82" t="n"/>
      <c r="AI18" s="82" t="n"/>
      <c r="AJ18" s="82" t="n"/>
      <c r="AK18" s="82" t="n"/>
      <c r="AL18" s="78" t="n"/>
      <c r="AM18" s="78" t="n"/>
      <c r="AN18" s="78" t="n"/>
      <c r="AO18" s="78" t="n"/>
      <c r="AP18" s="81" t="n"/>
      <c r="AQ18" s="77" t="n"/>
      <c r="AR18" s="78" t="n"/>
      <c r="AS18" s="78" t="n"/>
      <c r="AT18" s="78" t="n"/>
      <c r="AU18" s="78" t="n"/>
      <c r="AV18" s="83" t="n"/>
      <c r="AW18" s="83" t="n"/>
      <c r="AX18" s="83" t="n"/>
      <c r="AY18" s="83" t="n"/>
      <c r="AZ18" s="83" t="n"/>
      <c r="BA18" s="78" t="n"/>
      <c r="BB18" s="78" t="n"/>
      <c r="BC18" s="78" t="n"/>
      <c r="BD18" s="78" t="n"/>
      <c r="BE18" s="81" t="n"/>
      <c r="BF18" s="77" t="n"/>
      <c r="BG18" s="78" t="n"/>
      <c r="BH18" s="78" t="n"/>
      <c r="BI18" s="78" t="n"/>
      <c r="BJ18" s="78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81" t="n"/>
      <c r="BU18" s="38" t="n"/>
      <c r="BV18" s="39" t="n"/>
    </row>
    <row r="19" ht="23.1" customHeight="1" s="240">
      <c r="B19" s="150" t="n">
        <v>2.4</v>
      </c>
      <c r="C19" t="inlineStr">
        <is>
          <t>Generar matriz de confusión inicial.</t>
        </is>
      </c>
      <c r="D19" s="152" t="inlineStr">
        <is>
          <t>Yersson</t>
        </is>
      </c>
      <c r="E19" s="153" t="n">
        <v>3</v>
      </c>
      <c r="F19" s="154" t="n">
        <v>3</v>
      </c>
      <c r="G19" s="155">
        <f>E19-F19</f>
        <v/>
      </c>
      <c r="H19" s="156" t="n"/>
      <c r="I19" s="187" t="n"/>
      <c r="J19" s="187" t="n"/>
      <c r="K19" s="213" t="n"/>
      <c r="L19" s="201">
        <f>IFERROR(F19/E19,"")</f>
        <v/>
      </c>
      <c r="M19" s="77" t="n"/>
      <c r="N19" s="78" t="n"/>
      <c r="O19" s="78" t="n"/>
      <c r="P19" s="78" t="n"/>
      <c r="Q19" s="78" t="n"/>
      <c r="R19" s="80" t="n"/>
      <c r="S19" s="80" t="n"/>
      <c r="T19" s="80" t="n"/>
      <c r="U19" s="80" t="n"/>
      <c r="V19" s="80" t="n"/>
      <c r="W19" s="78" t="n"/>
      <c r="X19" s="78" t="n"/>
      <c r="Y19" s="78" t="n"/>
      <c r="Z19" s="78" t="n"/>
      <c r="AA19" s="81" t="n"/>
      <c r="AB19" s="77" t="n"/>
      <c r="AC19" s="78" t="n"/>
      <c r="AD19" s="78" t="n"/>
      <c r="AE19" s="78" t="n"/>
      <c r="AF19" s="78" t="n"/>
      <c r="AG19" s="82" t="n"/>
      <c r="AH19" s="82" t="n"/>
      <c r="AI19" s="82" t="n"/>
      <c r="AJ19" s="82" t="n"/>
      <c r="AK19" s="82" t="n"/>
      <c r="AL19" s="78" t="n"/>
      <c r="AM19" s="78" t="n"/>
      <c r="AN19" s="78" t="n"/>
      <c r="AO19" s="78" t="n"/>
      <c r="AP19" s="81" t="n"/>
      <c r="AQ19" s="77" t="n"/>
      <c r="AR19" s="78" t="n"/>
      <c r="AS19" s="78" t="n"/>
      <c r="AT19" s="78" t="n"/>
      <c r="AU19" s="78" t="n"/>
      <c r="AV19" s="83" t="n"/>
      <c r="AW19" s="83" t="n"/>
      <c r="AX19" s="83" t="n"/>
      <c r="AY19" s="83" t="n"/>
      <c r="AZ19" s="83" t="n"/>
      <c r="BA19" s="78" t="n"/>
      <c r="BB19" s="78" t="n"/>
      <c r="BC19" s="78" t="n"/>
      <c r="BD19" s="78" t="n"/>
      <c r="BE19" s="81" t="n"/>
      <c r="BF19" s="77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81" t="n"/>
      <c r="BU19" s="38" t="n"/>
      <c r="BV19" s="39" t="n"/>
    </row>
    <row r="20" ht="23.1" customHeight="1" s="240">
      <c r="B20" s="194" t="n">
        <v>3</v>
      </c>
      <c r="C20" s="195" t="inlineStr">
        <is>
          <t>HU-9: Interfaz web (12h)</t>
        </is>
      </c>
      <c r="D20" s="196" t="n"/>
      <c r="E20" s="197">
        <f>SUM(E21:E24)</f>
        <v/>
      </c>
      <c r="F20" s="198">
        <f>SUM(F21:F24)</f>
        <v/>
      </c>
      <c r="G20" s="199">
        <f>SUM(G21:G24)</f>
        <v/>
      </c>
      <c r="H20" s="200" t="n"/>
      <c r="I20" s="206" t="n">
        <v>46285</v>
      </c>
      <c r="J20" s="206" t="n">
        <v>46291</v>
      </c>
      <c r="K20" s="207">
        <f>J20-I20+1</f>
        <v/>
      </c>
      <c r="L20" s="201">
        <f>IFERROR(F20/E20,"")</f>
        <v/>
      </c>
      <c r="M20" s="73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5" t="n"/>
      <c r="AB20" s="73" t="n"/>
      <c r="AC20" s="74" t="n"/>
      <c r="AD20" s="74" t="n"/>
      <c r="AE20" s="74" t="n"/>
      <c r="AF20" s="7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5" t="n"/>
      <c r="AQ20" s="73" t="n"/>
      <c r="AR20" s="74" t="n"/>
      <c r="AS20" s="74" t="n"/>
      <c r="AT20" s="74" t="n"/>
      <c r="AU20" s="74" t="n"/>
      <c r="AV20" s="74" t="n"/>
      <c r="AW20" s="74" t="n"/>
      <c r="AX20" s="74" t="n"/>
      <c r="AY20" s="74" t="n"/>
      <c r="AZ20" s="74" t="n"/>
      <c r="BA20" s="74" t="n"/>
      <c r="BB20" s="74" t="n"/>
      <c r="BC20" s="74" t="n"/>
      <c r="BD20" s="74" t="n"/>
      <c r="BE20" s="75" t="n"/>
      <c r="BF20" s="73" t="n"/>
      <c r="BG20" s="74" t="n"/>
      <c r="BH20" s="74" t="n"/>
      <c r="BI20" s="74" t="n"/>
      <c r="BJ20" s="74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81" t="n"/>
      <c r="BU20" s="38" t="n"/>
      <c r="BV20" s="39" t="n"/>
    </row>
    <row r="21" ht="23.1" customHeight="1" s="240">
      <c r="B21" s="150" t="n">
        <v>3.1</v>
      </c>
      <c r="C21" t="inlineStr">
        <is>
          <t>Diseñar frontend básico con HTML/CSS/Flask/Django.</t>
        </is>
      </c>
      <c r="D21" s="152" t="inlineStr">
        <is>
          <t>Yersson</t>
        </is>
      </c>
      <c r="E21" s="153" t="n">
        <v>5</v>
      </c>
      <c r="F21" s="154" t="n">
        <v>5</v>
      </c>
      <c r="G21" s="155">
        <f>E21-F21</f>
        <v/>
      </c>
      <c r="H21" s="156" t="n"/>
      <c r="I21" s="157" t="n"/>
      <c r="J21" s="158" t="n"/>
      <c r="K21" s="213" t="n"/>
      <c r="L21" s="201">
        <f>IFERROR(F21/E21,"")</f>
        <v/>
      </c>
      <c r="M21" s="77" t="n"/>
      <c r="N21" s="78" t="n"/>
      <c r="O21" s="78" t="n"/>
      <c r="P21" s="78" t="n"/>
      <c r="Q21" s="78" t="n"/>
      <c r="R21" s="80" t="n"/>
      <c r="S21" s="80" t="n"/>
      <c r="T21" s="80" t="n"/>
      <c r="U21" s="80" t="n"/>
      <c r="V21" s="80" t="n"/>
      <c r="W21" s="78" t="n"/>
      <c r="X21" s="78" t="n"/>
      <c r="Y21" s="78" t="n"/>
      <c r="Z21" s="78" t="n"/>
      <c r="AA21" s="81" t="n"/>
      <c r="AB21" s="77" t="n"/>
      <c r="AC21" s="78" t="n"/>
      <c r="AD21" s="78" t="n"/>
      <c r="AE21" s="78" t="n"/>
      <c r="AF21" s="78" t="n"/>
      <c r="AG21" s="82" t="n"/>
      <c r="AH21" s="82" t="n"/>
      <c r="AI21" s="82" t="n"/>
      <c r="AJ21" s="82" t="n"/>
      <c r="AK21" s="82" t="n"/>
      <c r="AL21" s="78" t="n"/>
      <c r="AM21" s="78" t="n"/>
      <c r="AN21" s="78" t="n"/>
      <c r="AO21" s="78" t="n"/>
      <c r="AP21" s="81" t="n"/>
      <c r="AQ21" s="77" t="n"/>
      <c r="AR21" s="78" t="n"/>
      <c r="AS21" s="78" t="n"/>
      <c r="AT21" s="78" t="n"/>
      <c r="AU21" s="78" t="n"/>
      <c r="AV21" s="83" t="n"/>
      <c r="AW21" s="83" t="n"/>
      <c r="AX21" s="83" t="n"/>
      <c r="AY21" s="83" t="n"/>
      <c r="AZ21" s="83" t="n"/>
      <c r="BA21" s="78" t="n"/>
      <c r="BB21" s="78" t="n"/>
      <c r="BC21" s="78" t="n"/>
      <c r="BD21" s="78" t="n"/>
      <c r="BE21" s="81" t="n"/>
      <c r="BF21" s="77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81" t="n"/>
      <c r="BU21" s="38" t="n"/>
      <c r="BV21" s="39" t="n"/>
    </row>
    <row r="22" ht="23.1" customHeight="1" s="240">
      <c r="B22" s="150" t="n">
        <v>3.2</v>
      </c>
      <c r="C22" t="inlineStr">
        <is>
          <t>Integrar formulario para subir imágenes.</t>
        </is>
      </c>
      <c r="D22" s="152" t="inlineStr">
        <is>
          <t>Yersson</t>
        </is>
      </c>
      <c r="E22" s="153" t="n">
        <v>2</v>
      </c>
      <c r="F22" s="154" t="n">
        <v>2</v>
      </c>
      <c r="G22" s="155">
        <f>E22-F22</f>
        <v/>
      </c>
      <c r="H22" s="156" t="n"/>
      <c r="I22" s="157" t="n"/>
      <c r="J22" s="158" t="n"/>
      <c r="K22" s="213" t="n"/>
      <c r="L22" s="201">
        <f>IFERROR(F22/E22,"")</f>
        <v/>
      </c>
      <c r="M22" s="77" t="n"/>
      <c r="N22" s="78" t="n"/>
      <c r="O22" s="78" t="n"/>
      <c r="P22" s="78" t="n"/>
      <c r="Q22" s="78" t="n"/>
      <c r="R22" s="80" t="n"/>
      <c r="S22" s="80" t="n"/>
      <c r="T22" s="80" t="n"/>
      <c r="U22" s="80" t="n"/>
      <c r="V22" s="80" t="n"/>
      <c r="W22" s="78" t="n"/>
      <c r="X22" s="78" t="n"/>
      <c r="Y22" s="78" t="n"/>
      <c r="Z22" s="78" t="n"/>
      <c r="AA22" s="81" t="n"/>
      <c r="AB22" s="77" t="n"/>
      <c r="AC22" s="78" t="n"/>
      <c r="AD22" s="78" t="n"/>
      <c r="AE22" s="78" t="n"/>
      <c r="AF22" s="78" t="n"/>
      <c r="AG22" s="82" t="n"/>
      <c r="AH22" s="82" t="n"/>
      <c r="AI22" s="82" t="n"/>
      <c r="AJ22" s="82" t="n"/>
      <c r="AK22" s="82" t="n"/>
      <c r="AL22" s="78" t="n"/>
      <c r="AM22" s="78" t="n"/>
      <c r="AN22" s="78" t="n"/>
      <c r="AO22" s="78" t="n"/>
      <c r="AP22" s="81" t="n"/>
      <c r="AQ22" s="77" t="n"/>
      <c r="AR22" s="78" t="n"/>
      <c r="AS22" s="78" t="n"/>
      <c r="AT22" s="78" t="n"/>
      <c r="AU22" s="78" t="n"/>
      <c r="AV22" s="83" t="n"/>
      <c r="AW22" s="83" t="n"/>
      <c r="AX22" s="83" t="n"/>
      <c r="AY22" s="83" t="n"/>
      <c r="AZ22" s="83" t="n"/>
      <c r="BA22" s="78" t="n"/>
      <c r="BB22" s="78" t="n"/>
      <c r="BC22" s="78" t="n"/>
      <c r="BD22" s="78" t="n"/>
      <c r="BE22" s="81" t="n"/>
      <c r="BF22" s="77" t="n"/>
      <c r="BG22" s="78" t="n"/>
      <c r="BH22" s="78" t="n"/>
      <c r="BI22" s="78" t="n"/>
      <c r="BJ22" s="78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81" t="n"/>
      <c r="BU22" s="38" t="n"/>
      <c r="BV22" s="39" t="n"/>
    </row>
    <row r="23" ht="23.1" customHeight="1" s="240">
      <c r="B23" s="150" t="inlineStr">
        <is>
          <t>3.2.1</t>
        </is>
      </c>
      <c r="C23" t="inlineStr">
        <is>
          <t>Conectar backend con modelo CNN.</t>
        </is>
      </c>
      <c r="D23" s="152" t="inlineStr">
        <is>
          <t>Yersson</t>
        </is>
      </c>
      <c r="E23" s="153" t="n">
        <v>4</v>
      </c>
      <c r="F23" s="154" t="n">
        <v>4</v>
      </c>
      <c r="G23" s="155">
        <f>E23-F23</f>
        <v/>
      </c>
      <c r="H23" s="163" t="n"/>
      <c r="I23" s="157" t="n"/>
      <c r="J23" s="158" t="n"/>
      <c r="K23" s="213" t="n"/>
      <c r="L23" s="201">
        <f>IFERROR(F23/E23,"")</f>
        <v/>
      </c>
      <c r="M23" s="77" t="n"/>
      <c r="N23" s="78" t="n"/>
      <c r="O23" s="78" t="n"/>
      <c r="P23" s="78" t="n"/>
      <c r="Q23" s="78" t="n"/>
      <c r="R23" s="80" t="n"/>
      <c r="S23" s="80" t="n"/>
      <c r="T23" s="80" t="n"/>
      <c r="U23" s="80" t="n"/>
      <c r="V23" s="80" t="n"/>
      <c r="W23" s="78" t="n"/>
      <c r="X23" s="78" t="n"/>
      <c r="Y23" s="78" t="n"/>
      <c r="Z23" s="78" t="n"/>
      <c r="AA23" s="81" t="n"/>
      <c r="AB23" s="77" t="n"/>
      <c r="AC23" s="78" t="n"/>
      <c r="AD23" s="78" t="n"/>
      <c r="AE23" s="78" t="n"/>
      <c r="AF23" s="78" t="n"/>
      <c r="AG23" s="82" t="n"/>
      <c r="AH23" s="82" t="n"/>
      <c r="AI23" s="82" t="n"/>
      <c r="AJ23" s="82" t="n"/>
      <c r="AK23" s="82" t="n"/>
      <c r="AL23" s="78" t="n"/>
      <c r="AM23" s="78" t="n"/>
      <c r="AN23" s="78" t="n"/>
      <c r="AO23" s="78" t="n"/>
      <c r="AP23" s="81" t="n"/>
      <c r="AQ23" s="77" t="n"/>
      <c r="AR23" s="78" t="n"/>
      <c r="AS23" s="78" t="n"/>
      <c r="AT23" s="78" t="n"/>
      <c r="AU23" s="78" t="n"/>
      <c r="AV23" s="83" t="n"/>
      <c r="AW23" s="83" t="n"/>
      <c r="AX23" s="83" t="n"/>
      <c r="AY23" s="83" t="n"/>
      <c r="AZ23" s="83" t="n"/>
      <c r="BA23" s="78" t="n"/>
      <c r="BB23" s="78" t="n"/>
      <c r="BC23" s="78" t="n"/>
      <c r="BD23" s="78" t="n"/>
      <c r="BE23" s="81" t="n"/>
      <c r="BF23" s="77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81" t="n"/>
      <c r="BU23" s="38" t="n"/>
      <c r="BV23" s="39" t="n"/>
    </row>
    <row r="24" ht="23.1" customHeight="1" s="240">
      <c r="B24" s="150" t="inlineStr">
        <is>
          <t>3.2.2</t>
        </is>
      </c>
      <c r="C24" t="inlineStr">
        <is>
          <t>Mostrar resultados en la web.</t>
        </is>
      </c>
      <c r="D24" s="152" t="inlineStr">
        <is>
          <t>Yersson</t>
        </is>
      </c>
      <c r="E24" s="153" t="n">
        <v>1</v>
      </c>
      <c r="F24" s="154" t="n">
        <v>1</v>
      </c>
      <c r="G24" s="155">
        <f>E24-F24</f>
        <v/>
      </c>
      <c r="H24" s="163" t="n"/>
      <c r="I24" s="157" t="n"/>
      <c r="J24" s="158" t="n"/>
      <c r="K24" s="213" t="n"/>
      <c r="L24" s="201">
        <f>IFERROR(F24/E24,"")</f>
        <v/>
      </c>
      <c r="M24" s="77" t="n"/>
      <c r="N24" s="78" t="n"/>
      <c r="O24" s="78" t="n"/>
      <c r="P24" s="78" t="n"/>
      <c r="Q24" s="78" t="n"/>
      <c r="R24" s="80" t="n"/>
      <c r="S24" s="80" t="n"/>
      <c r="T24" s="80" t="n"/>
      <c r="U24" s="80" t="n"/>
      <c r="V24" s="80" t="n"/>
      <c r="W24" s="78" t="n"/>
      <c r="X24" s="78" t="n"/>
      <c r="Y24" s="78" t="n"/>
      <c r="Z24" s="78" t="n"/>
      <c r="AA24" s="81" t="n"/>
      <c r="AB24" s="77" t="n"/>
      <c r="AC24" s="78" t="n"/>
      <c r="AD24" s="78" t="n"/>
      <c r="AE24" s="78" t="n"/>
      <c r="AF24" s="78" t="n"/>
      <c r="AG24" s="82" t="n"/>
      <c r="AH24" s="82" t="n"/>
      <c r="AI24" s="82" t="n"/>
      <c r="AJ24" s="82" t="n"/>
      <c r="AK24" s="82" t="n"/>
      <c r="AL24" s="78" t="n"/>
      <c r="AM24" s="78" t="n"/>
      <c r="AN24" s="78" t="n"/>
      <c r="AO24" s="78" t="n"/>
      <c r="AP24" s="81" t="n"/>
      <c r="AQ24" s="77" t="n"/>
      <c r="AR24" s="78" t="n"/>
      <c r="AS24" s="78" t="n"/>
      <c r="AT24" s="78" t="n"/>
      <c r="AU24" s="78" t="n"/>
      <c r="AV24" s="83" t="n"/>
      <c r="AW24" s="83" t="n"/>
      <c r="AX24" s="83" t="n"/>
      <c r="AY24" s="83" t="n"/>
      <c r="AZ24" s="83" t="n"/>
      <c r="BA24" s="78" t="n"/>
      <c r="BB24" s="78" t="n"/>
      <c r="BC24" s="78" t="n"/>
      <c r="BD24" s="78" t="n"/>
      <c r="BE24" s="81" t="n"/>
      <c r="BF24" s="77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81" t="n"/>
      <c r="BU24" s="38" t="n"/>
      <c r="BV24" s="39" t="n"/>
    </row>
    <row r="25" ht="23.1" customHeight="1" s="240">
      <c r="B25" s="194" t="inlineStr">
        <is>
          <t>4</t>
        </is>
      </c>
      <c r="C25" s="195" t="inlineStr">
        <is>
          <t>HU-10: Subida intuitiva de imágenes (4h)</t>
        </is>
      </c>
      <c r="D25" s="196" t="n"/>
      <c r="E25" s="197">
        <f>SUM(E26:E29)</f>
        <v/>
      </c>
      <c r="F25" s="198">
        <f>SUM(F26:F29)</f>
        <v/>
      </c>
      <c r="G25" s="199">
        <f>SUM(G26:G29)</f>
        <v/>
      </c>
      <c r="H25" s="200" t="n"/>
      <c r="I25" s="206" t="n">
        <v>46285</v>
      </c>
      <c r="J25" s="206" t="n">
        <v>46291</v>
      </c>
      <c r="K25" s="207">
        <f>J25-I25+1</f>
        <v/>
      </c>
      <c r="L25" s="201">
        <f>IFERROR(F25/E25,"")</f>
        <v/>
      </c>
      <c r="M25" s="73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5" t="n"/>
      <c r="AB25" s="73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5" t="n"/>
      <c r="AQ25" s="73" t="n"/>
      <c r="AR25" s="74" t="n"/>
      <c r="AS25" s="74" t="n"/>
      <c r="AT25" s="74" t="n"/>
      <c r="AU25" s="74" t="n"/>
      <c r="AV25" s="74" t="n"/>
      <c r="AW25" s="74" t="n"/>
      <c r="AX25" s="74" t="n"/>
      <c r="AY25" s="74" t="n"/>
      <c r="AZ25" s="74" t="n"/>
      <c r="BA25" s="74" t="n"/>
      <c r="BB25" s="74" t="n"/>
      <c r="BC25" s="74" t="n"/>
      <c r="BD25" s="74" t="n"/>
      <c r="BE25" s="75" t="n"/>
      <c r="BF25" s="73" t="n"/>
      <c r="BG25" s="74" t="n"/>
      <c r="BH25" s="74" t="n"/>
      <c r="BI25" s="74" t="n"/>
      <c r="BJ25" s="74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81" t="n"/>
      <c r="BU25" s="38" t="n"/>
      <c r="BV25" s="39" t="n"/>
    </row>
    <row r="26" ht="23.1" customHeight="1" s="240">
      <c r="B26" s="150" t="inlineStr">
        <is>
          <t>4.1</t>
        </is>
      </c>
      <c r="C26" t="inlineStr">
        <is>
          <t>Implementar arrastrar y soltar.</t>
        </is>
      </c>
      <c r="D26" s="152" t="inlineStr">
        <is>
          <t>Yersson</t>
        </is>
      </c>
      <c r="E26" s="153" t="n">
        <v>1</v>
      </c>
      <c r="F26" s="154" t="n">
        <v>1</v>
      </c>
      <c r="G26" s="155">
        <f>E26-F26</f>
        <v/>
      </c>
      <c r="H26" s="156" t="n"/>
      <c r="I26" s="157" t="n"/>
      <c r="J26" s="158" t="n"/>
      <c r="K26" s="213" t="n"/>
      <c r="L26" s="201">
        <f>IFERROR(F26/E26,"")</f>
        <v/>
      </c>
      <c r="M26" s="77" t="n"/>
      <c r="N26" s="78" t="n"/>
      <c r="O26" s="78" t="n"/>
      <c r="P26" s="78" t="n"/>
      <c r="Q26" s="78" t="n"/>
      <c r="R26" s="80" t="n"/>
      <c r="S26" s="80" t="n"/>
      <c r="T26" s="80" t="n"/>
      <c r="U26" s="80" t="n"/>
      <c r="V26" s="80" t="n"/>
      <c r="W26" s="78" t="n"/>
      <c r="X26" s="78" t="n"/>
      <c r="Y26" s="78" t="n"/>
      <c r="Z26" s="78" t="n"/>
      <c r="AA26" s="81" t="n"/>
      <c r="AB26" s="77" t="n"/>
      <c r="AC26" s="78" t="n"/>
      <c r="AD26" s="78" t="n"/>
      <c r="AE26" s="78" t="n"/>
      <c r="AF26" s="78" t="n"/>
      <c r="AG26" s="82" t="n"/>
      <c r="AH26" s="82" t="n"/>
      <c r="AI26" s="82" t="n"/>
      <c r="AJ26" s="82" t="n"/>
      <c r="AK26" s="82" t="n"/>
      <c r="AL26" s="78" t="n"/>
      <c r="AM26" s="78" t="n"/>
      <c r="AN26" s="78" t="n"/>
      <c r="AO26" s="78" t="n"/>
      <c r="AP26" s="81" t="n"/>
      <c r="AQ26" s="77" t="n"/>
      <c r="AR26" s="78" t="n"/>
      <c r="AS26" s="78" t="n"/>
      <c r="AT26" s="78" t="n"/>
      <c r="AU26" s="78" t="n"/>
      <c r="AV26" s="83" t="n"/>
      <c r="AW26" s="83" t="n"/>
      <c r="AX26" s="83" t="n"/>
      <c r="AY26" s="83" t="n"/>
      <c r="AZ26" s="83" t="n"/>
      <c r="BA26" s="78" t="n"/>
      <c r="BB26" s="78" t="n"/>
      <c r="BC26" s="78" t="n"/>
      <c r="BD26" s="78" t="n"/>
      <c r="BE26" s="81" t="n"/>
      <c r="BF26" s="77" t="n"/>
      <c r="BG26" s="78" t="n"/>
      <c r="BH26" s="78" t="n"/>
      <c r="BI26" s="78" t="n"/>
      <c r="BJ26" s="78" t="n"/>
      <c r="BK26" s="78" t="n"/>
      <c r="BL26" s="78" t="n"/>
      <c r="BM26" s="78" t="n"/>
      <c r="BN26" s="78" t="n"/>
      <c r="BO26" s="78" t="n"/>
      <c r="BP26" s="78" t="n"/>
      <c r="BQ26" s="78" t="n"/>
      <c r="BR26" s="78" t="n"/>
      <c r="BS26" s="78" t="n"/>
      <c r="BT26" s="81" t="n"/>
      <c r="BU26" s="38" t="n"/>
      <c r="BV26" s="39" t="n"/>
    </row>
    <row r="27" ht="23.1" customHeight="1" s="240">
      <c r="B27" s="150" t="inlineStr">
        <is>
          <t>4.2</t>
        </is>
      </c>
      <c r="C27" t="inlineStr">
        <is>
          <t>Permitir subida desde archivos locales.</t>
        </is>
      </c>
      <c r="D27" s="152" t="inlineStr">
        <is>
          <t>Yersson</t>
        </is>
      </c>
      <c r="E27" s="153" t="n">
        <v>1</v>
      </c>
      <c r="F27" s="154" t="n">
        <v>1</v>
      </c>
      <c r="G27" s="155">
        <f>E27-F27</f>
        <v/>
      </c>
      <c r="H27" s="156" t="n"/>
      <c r="I27" s="157" t="n"/>
      <c r="J27" s="158" t="n"/>
      <c r="K27" s="213" t="n"/>
      <c r="L27" s="201">
        <f>IFERROR(F27/E27,"")</f>
        <v/>
      </c>
      <c r="M27" s="77" t="n"/>
      <c r="N27" s="78" t="n"/>
      <c r="O27" s="78" t="n"/>
      <c r="P27" s="78" t="n"/>
      <c r="Q27" s="78" t="n"/>
      <c r="R27" s="80" t="n"/>
      <c r="S27" s="80" t="n"/>
      <c r="T27" s="80" t="n"/>
      <c r="U27" s="80" t="n"/>
      <c r="V27" s="80" t="n"/>
      <c r="W27" s="78" t="n"/>
      <c r="X27" s="78" t="n"/>
      <c r="Y27" s="78" t="n"/>
      <c r="Z27" s="78" t="n"/>
      <c r="AA27" s="81" t="n"/>
      <c r="AB27" s="77" t="n"/>
      <c r="AC27" s="78" t="n"/>
      <c r="AD27" s="78" t="n"/>
      <c r="AE27" s="78" t="n"/>
      <c r="AF27" s="78" t="n"/>
      <c r="AG27" s="82" t="n"/>
      <c r="AH27" s="82" t="n"/>
      <c r="AI27" s="82" t="n"/>
      <c r="AJ27" s="82" t="n"/>
      <c r="AK27" s="82" t="n"/>
      <c r="AL27" s="78" t="n"/>
      <c r="AM27" s="78" t="n"/>
      <c r="AN27" s="78" t="n"/>
      <c r="AO27" s="78" t="n"/>
      <c r="AP27" s="81" t="n"/>
      <c r="AQ27" s="77" t="n"/>
      <c r="AR27" s="78" t="n"/>
      <c r="AS27" s="78" t="n"/>
      <c r="AT27" s="78" t="n"/>
      <c r="AU27" s="78" t="n"/>
      <c r="AV27" s="83" t="n"/>
      <c r="AW27" s="83" t="n"/>
      <c r="AX27" s="83" t="n"/>
      <c r="AY27" s="83" t="n"/>
      <c r="AZ27" s="83" t="n"/>
      <c r="BA27" s="78" t="n"/>
      <c r="BB27" s="78" t="n"/>
      <c r="BC27" s="78" t="n"/>
      <c r="BD27" s="78" t="n"/>
      <c r="BE27" s="81" t="n"/>
      <c r="BF27" s="77" t="n"/>
      <c r="BG27" s="78" t="n"/>
      <c r="BH27" s="78" t="n"/>
      <c r="BI27" s="78" t="n"/>
      <c r="BJ27" s="78" t="n"/>
      <c r="BK27" s="78" t="n"/>
      <c r="BL27" s="78" t="n"/>
      <c r="BM27" s="78" t="n"/>
      <c r="BN27" s="78" t="n"/>
      <c r="BO27" s="78" t="n"/>
      <c r="BP27" s="78" t="n"/>
      <c r="BQ27" s="78" t="n"/>
      <c r="BR27" s="78" t="n"/>
      <c r="BS27" s="78" t="n"/>
      <c r="BT27" s="81" t="n"/>
      <c r="BU27" s="38" t="n"/>
      <c r="BV27" s="39" t="n"/>
    </row>
    <row r="28" ht="23.1" customHeight="1" s="240">
      <c r="B28" s="150" t="inlineStr">
        <is>
          <t>4.3</t>
        </is>
      </c>
      <c r="C28" t="inlineStr">
        <is>
          <t>Validar formato de imágenes (jpg, png).</t>
        </is>
      </c>
      <c r="D28" s="152" t="inlineStr">
        <is>
          <t>Yersson</t>
        </is>
      </c>
      <c r="E28" s="153" t="n">
        <v>1</v>
      </c>
      <c r="F28" s="154" t="n">
        <v>1</v>
      </c>
      <c r="G28" s="155">
        <f>E28-F28</f>
        <v/>
      </c>
      <c r="H28" s="156" t="n"/>
      <c r="I28" s="157" t="n"/>
      <c r="J28" s="158" t="n"/>
      <c r="K28" s="213" t="n"/>
      <c r="L28" s="201">
        <f>IFERROR(F28/E28,"")</f>
        <v/>
      </c>
      <c r="M28" s="77" t="n"/>
      <c r="N28" s="78" t="n"/>
      <c r="O28" s="78" t="n"/>
      <c r="P28" s="78" t="n"/>
      <c r="Q28" s="78" t="n"/>
      <c r="R28" s="80" t="n"/>
      <c r="S28" s="80" t="n"/>
      <c r="T28" s="80" t="n"/>
      <c r="U28" s="80" t="n"/>
      <c r="V28" s="80" t="n"/>
      <c r="W28" s="78" t="n"/>
      <c r="X28" s="78" t="n"/>
      <c r="Y28" s="78" t="n"/>
      <c r="Z28" s="78" t="n"/>
      <c r="AA28" s="81" t="n"/>
      <c r="AB28" s="77" t="n"/>
      <c r="AC28" s="78" t="n"/>
      <c r="AD28" s="78" t="n"/>
      <c r="AE28" s="78" t="n"/>
      <c r="AF28" s="78" t="n"/>
      <c r="AG28" s="82" t="n"/>
      <c r="AH28" s="82" t="n"/>
      <c r="AI28" s="82" t="n"/>
      <c r="AJ28" s="82" t="n"/>
      <c r="AK28" s="82" t="n"/>
      <c r="AL28" s="78" t="n"/>
      <c r="AM28" s="78" t="n"/>
      <c r="AN28" s="78" t="n"/>
      <c r="AO28" s="78" t="n"/>
      <c r="AP28" s="81" t="n"/>
      <c r="AQ28" s="77" t="n"/>
      <c r="AR28" s="78" t="n"/>
      <c r="AS28" s="78" t="n"/>
      <c r="AT28" s="78" t="n"/>
      <c r="AU28" s="78" t="n"/>
      <c r="AV28" s="83" t="n"/>
      <c r="AW28" s="83" t="n"/>
      <c r="AX28" s="83" t="n"/>
      <c r="AY28" s="83" t="n"/>
      <c r="AZ28" s="83" t="n"/>
      <c r="BA28" s="78" t="n"/>
      <c r="BB28" s="78" t="n"/>
      <c r="BC28" s="78" t="n"/>
      <c r="BD28" s="78" t="n"/>
      <c r="BE28" s="81" t="n"/>
      <c r="BF28" s="77" t="n"/>
      <c r="BG28" s="78" t="n"/>
      <c r="BH28" s="78" t="n"/>
      <c r="BI28" s="78" t="n"/>
      <c r="BJ28" s="78" t="n"/>
      <c r="BK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81" t="n"/>
      <c r="BU28" s="38" t="n"/>
      <c r="BV28" s="39" t="n"/>
    </row>
    <row r="29" ht="23.1" customHeight="1" s="240" thickBot="1">
      <c r="B29" s="150" t="inlineStr">
        <is>
          <t>4.4</t>
        </is>
      </c>
      <c r="C29" t="inlineStr">
        <is>
          <t>Mostrar preview de la imagen.</t>
        </is>
      </c>
      <c r="D29" s="152" t="inlineStr">
        <is>
          <t>Yersson</t>
        </is>
      </c>
      <c r="E29" s="172" t="n">
        <v>1</v>
      </c>
      <c r="F29" s="173" t="n">
        <v>1</v>
      </c>
      <c r="G29" s="174">
        <f>E29-F29</f>
        <v/>
      </c>
      <c r="H29" s="175" t="n"/>
      <c r="I29" s="176" t="n"/>
      <c r="J29" s="177" t="n"/>
      <c r="K29" s="214" t="n"/>
      <c r="L29" s="201">
        <f>IFERROR(F29/E29,"")</f>
        <v/>
      </c>
      <c r="M29" s="86" t="n"/>
      <c r="N29" s="87" t="n"/>
      <c r="O29" s="87" t="n"/>
      <c r="P29" s="87" t="n"/>
      <c r="Q29" s="87" t="n"/>
      <c r="R29" s="88" t="n"/>
      <c r="S29" s="88" t="n"/>
      <c r="T29" s="88" t="n"/>
      <c r="U29" s="88" t="n"/>
      <c r="V29" s="88" t="n"/>
      <c r="W29" s="87" t="n"/>
      <c r="X29" s="87" t="n"/>
      <c r="Y29" s="87" t="n"/>
      <c r="Z29" s="87" t="n"/>
      <c r="AA29" s="89" t="n"/>
      <c r="AB29" s="86" t="n"/>
      <c r="AC29" s="87" t="n"/>
      <c r="AD29" s="87" t="n"/>
      <c r="AE29" s="87" t="n"/>
      <c r="AF29" s="87" t="n"/>
      <c r="AG29" s="90" t="n"/>
      <c r="AH29" s="90" t="n"/>
      <c r="AI29" s="90" t="n"/>
      <c r="AJ29" s="90" t="n"/>
      <c r="AK29" s="90" t="n"/>
      <c r="AL29" s="87" t="n"/>
      <c r="AM29" s="87" t="n"/>
      <c r="AN29" s="87" t="n"/>
      <c r="AO29" s="87" t="n"/>
      <c r="AP29" s="89" t="n"/>
      <c r="AQ29" s="86" t="n"/>
      <c r="AR29" s="87" t="n"/>
      <c r="AS29" s="87" t="n"/>
      <c r="AT29" s="87" t="n"/>
      <c r="AU29" s="87" t="n"/>
      <c r="AV29" s="91" t="n"/>
      <c r="AW29" s="91" t="n"/>
      <c r="AX29" s="91" t="n"/>
      <c r="AY29" s="91" t="n"/>
      <c r="AZ29" s="91" t="n"/>
      <c r="BA29" s="87" t="n"/>
      <c r="BB29" s="87" t="n"/>
      <c r="BC29" s="87" t="n"/>
      <c r="BD29" s="87" t="n"/>
      <c r="BE29" s="89" t="n"/>
      <c r="BF29" s="86" t="n"/>
      <c r="BG29" s="87" t="n"/>
      <c r="BH29" s="87" t="n"/>
      <c r="BI29" s="87" t="n"/>
      <c r="BJ29" s="87" t="n"/>
      <c r="BK29" s="191" t="n"/>
      <c r="BL29" s="191" t="n"/>
      <c r="BM29" s="191" t="n"/>
      <c r="BN29" s="191" t="n"/>
      <c r="BO29" s="191" t="n"/>
      <c r="BP29" s="191" t="n"/>
      <c r="BQ29" s="191" t="n"/>
      <c r="BR29" s="191" t="n"/>
      <c r="BS29" s="191" t="n"/>
      <c r="BT29" s="192" t="n"/>
      <c r="BU29" s="38" t="n"/>
      <c r="BV29" s="39" t="n"/>
    </row>
    <row r="30" ht="23.1" customHeight="1" s="240">
      <c r="B30" s="194" t="inlineStr">
        <is>
          <t>5</t>
        </is>
      </c>
      <c r="C30" s="195" t="inlineStr">
        <is>
          <t>HU-16: Recomendaciones básicas (8h)</t>
        </is>
      </c>
      <c r="D30" s="196" t="n"/>
      <c r="E30" s="197">
        <f>SUM(E31:E34)</f>
        <v/>
      </c>
      <c r="F30" s="198">
        <f>SUM(F31:F34)</f>
        <v/>
      </c>
      <c r="G30" s="199">
        <f>SUM(G31:G34)</f>
        <v/>
      </c>
      <c r="H30" s="200" t="n"/>
      <c r="I30" s="206" t="n">
        <v>46285</v>
      </c>
      <c r="J30" s="206" t="n">
        <v>46291</v>
      </c>
      <c r="K30" s="207">
        <f>J30-I30+1</f>
        <v/>
      </c>
      <c r="L30" s="201">
        <f>IFERROR(F30/E30,"")</f>
        <v/>
      </c>
      <c r="M30" s="73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5" t="n"/>
      <c r="AB30" s="73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5" t="n"/>
      <c r="AQ30" s="73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5" t="n"/>
      <c r="BF30" s="73" t="n"/>
      <c r="BG30" s="74" t="n"/>
      <c r="BH30" s="74" t="n"/>
      <c r="BI30" s="74" t="n"/>
      <c r="BJ30" s="74" t="n"/>
      <c r="BK30" s="191" t="n"/>
      <c r="BL30" s="191" t="n"/>
      <c r="BM30" s="191" t="n"/>
      <c r="BN30" s="191" t="n"/>
      <c r="BO30" s="191" t="n"/>
      <c r="BP30" s="191" t="n"/>
      <c r="BQ30" s="191" t="n"/>
      <c r="BR30" s="191" t="n"/>
      <c r="BS30" s="191" t="n"/>
      <c r="BT30" s="192" t="n"/>
      <c r="BU30" s="38" t="n"/>
      <c r="BV30" s="39" t="n"/>
    </row>
    <row r="31" ht="23.1" customHeight="1" s="240">
      <c r="B31" s="150" t="inlineStr">
        <is>
          <t>5.1</t>
        </is>
      </c>
      <c r="C31" t="inlineStr">
        <is>
          <t>Asociar recomendaciones generales a enfermedades.</t>
        </is>
      </c>
      <c r="D31" s="152" t="inlineStr">
        <is>
          <t>Yersson</t>
        </is>
      </c>
      <c r="E31" s="153" t="n">
        <v>3</v>
      </c>
      <c r="F31" s="154" t="n">
        <v>3</v>
      </c>
      <c r="G31" s="155">
        <f>E31-F31</f>
        <v/>
      </c>
      <c r="H31" s="212" t="n"/>
      <c r="I31" s="157" t="n"/>
      <c r="J31" s="158" t="n"/>
      <c r="K31" s="213" t="n"/>
      <c r="L31" s="201">
        <f>IFERROR(F31/E31,"")</f>
        <v/>
      </c>
      <c r="M31" s="73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5" t="n"/>
      <c r="AB31" s="73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5" t="n"/>
      <c r="AQ31" s="73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5" t="n"/>
      <c r="BF31" s="73" t="n"/>
      <c r="BG31" s="74" t="n"/>
      <c r="BH31" s="74" t="n"/>
      <c r="BI31" s="74" t="n"/>
      <c r="BJ31" s="74" t="n"/>
      <c r="BK31" s="191" t="n"/>
      <c r="BL31" s="191" t="n"/>
      <c r="BM31" s="191" t="n"/>
      <c r="BN31" s="191" t="n"/>
      <c r="BO31" s="191" t="n"/>
      <c r="BP31" s="191" t="n"/>
      <c r="BQ31" s="191" t="n"/>
      <c r="BR31" s="191" t="n"/>
      <c r="BS31" s="191" t="n"/>
      <c r="BT31" s="192" t="n"/>
      <c r="BU31" s="38" t="n"/>
      <c r="BV31" s="39" t="n"/>
    </row>
    <row r="32" ht="23.1" customHeight="1" s="240">
      <c r="B32" s="150" t="inlineStr">
        <is>
          <t>5.2</t>
        </is>
      </c>
      <c r="C32" t="inlineStr">
        <is>
          <t>Mostrar consejos simples en interfaz.</t>
        </is>
      </c>
      <c r="D32" s="152" t="inlineStr">
        <is>
          <t>Yersson</t>
        </is>
      </c>
      <c r="E32" s="153" t="n">
        <v>2</v>
      </c>
      <c r="F32" s="154" t="n">
        <v>2</v>
      </c>
      <c r="G32" s="155">
        <f>E32-F32</f>
        <v/>
      </c>
      <c r="H32" s="212" t="n"/>
      <c r="I32" s="157" t="n"/>
      <c r="J32" s="158" t="n"/>
      <c r="K32" s="213" t="n"/>
      <c r="L32" s="201">
        <f>IFERROR(F32/E32,"")</f>
        <v/>
      </c>
      <c r="M32" s="73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5" t="n"/>
      <c r="AB32" s="73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5" t="n"/>
      <c r="AQ32" s="73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5" t="n"/>
      <c r="BF32" s="73" t="n"/>
      <c r="BG32" s="74" t="n"/>
      <c r="BH32" s="74" t="n"/>
      <c r="BI32" s="74" t="n"/>
      <c r="BJ32" s="74" t="n"/>
      <c r="BK32" s="191" t="n"/>
      <c r="BL32" s="191" t="n"/>
      <c r="BM32" s="191" t="n"/>
      <c r="BN32" s="191" t="n"/>
      <c r="BO32" s="191" t="n"/>
      <c r="BP32" s="191" t="n"/>
      <c r="BQ32" s="191" t="n"/>
      <c r="BR32" s="191" t="n"/>
      <c r="BS32" s="191" t="n"/>
      <c r="BT32" s="192" t="n"/>
      <c r="BU32" s="38" t="n"/>
      <c r="BV32" s="39" t="n"/>
    </row>
    <row r="33" ht="23.1" customHeight="1" s="240">
      <c r="B33" s="150" t="inlineStr">
        <is>
          <t>5.3</t>
        </is>
      </c>
      <c r="C33" t="inlineStr">
        <is>
          <t>Validar con diagnóstico previo.</t>
        </is>
      </c>
      <c r="D33" s="152" t="inlineStr">
        <is>
          <t>Yersson</t>
        </is>
      </c>
      <c r="E33" s="153" t="n">
        <v>2</v>
      </c>
      <c r="F33" s="154" t="n">
        <v>2</v>
      </c>
      <c r="G33" s="155">
        <f>E33-F33</f>
        <v/>
      </c>
      <c r="H33" s="212" t="n"/>
      <c r="I33" s="157" t="n"/>
      <c r="J33" s="158" t="n"/>
      <c r="K33" s="213" t="n"/>
      <c r="L33" s="201">
        <f>IFERROR(F33/E33,"")</f>
        <v/>
      </c>
      <c r="M33" s="73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5" t="n"/>
      <c r="AB33" s="73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5" t="n"/>
      <c r="AQ33" s="73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5" t="n"/>
      <c r="BF33" s="73" t="n"/>
      <c r="BG33" s="74" t="n"/>
      <c r="BH33" s="74" t="n"/>
      <c r="BI33" s="74" t="n"/>
      <c r="BJ33" s="74" t="n"/>
      <c r="BK33" s="191" t="n"/>
      <c r="BL33" s="191" t="n"/>
      <c r="BM33" s="191" t="n"/>
      <c r="BN33" s="191" t="n"/>
      <c r="BO33" s="191" t="n"/>
      <c r="BP33" s="191" t="n"/>
      <c r="BQ33" s="191" t="n"/>
      <c r="BR33" s="191" t="n"/>
      <c r="BS33" s="191" t="n"/>
      <c r="BT33" s="192" t="n"/>
      <c r="BU33" s="38" t="n"/>
      <c r="BV33" s="39" t="n"/>
    </row>
    <row r="34" ht="23.1" customHeight="1" s="240" thickBot="1">
      <c r="B34" s="150" t="inlineStr">
        <is>
          <t>5.4</t>
        </is>
      </c>
      <c r="C34" t="inlineStr">
        <is>
          <t>Crear base inicial de conocimientos.</t>
        </is>
      </c>
      <c r="D34" s="152" t="inlineStr">
        <is>
          <t>Yersson</t>
        </is>
      </c>
      <c r="E34" s="153" t="n">
        <v>1</v>
      </c>
      <c r="F34" s="154" t="n">
        <v>1</v>
      </c>
      <c r="G34" s="174">
        <f>E34-F34</f>
        <v/>
      </c>
      <c r="H34" s="212" t="n"/>
      <c r="I34" s="157" t="n"/>
      <c r="J34" s="158" t="n"/>
      <c r="K34" s="214" t="n"/>
      <c r="L34" s="201">
        <f>IFERROR(F34/E34,"")</f>
        <v/>
      </c>
      <c r="M34" s="73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5" t="n"/>
      <c r="AB34" s="73" t="n"/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75" t="n"/>
      <c r="AQ34" s="73" t="n"/>
      <c r="AR34" s="74" t="n"/>
      <c r="AS34" s="74" t="n"/>
      <c r="AT34" s="74" t="n"/>
      <c r="AU34" s="74" t="n"/>
      <c r="AV34" s="74" t="n"/>
      <c r="AW34" s="74" t="n"/>
      <c r="AX34" s="74" t="n"/>
      <c r="AY34" s="74" t="n"/>
      <c r="AZ34" s="74" t="n"/>
      <c r="BA34" s="74" t="n"/>
      <c r="BB34" s="74" t="n"/>
      <c r="BC34" s="74" t="n"/>
      <c r="BD34" s="74" t="n"/>
      <c r="BE34" s="75" t="n"/>
      <c r="BF34" s="73" t="n"/>
      <c r="BG34" s="74" t="n"/>
      <c r="BH34" s="74" t="n"/>
      <c r="BI34" s="74" t="n"/>
      <c r="BJ34" s="74" t="n"/>
      <c r="BK34" s="191" t="n"/>
      <c r="BL34" s="191" t="n"/>
      <c r="BM34" s="191" t="n"/>
      <c r="BN34" s="191" t="n"/>
      <c r="BO34" s="191" t="n"/>
      <c r="BP34" s="191" t="n"/>
      <c r="BQ34" s="191" t="n"/>
      <c r="BR34" s="191" t="n"/>
      <c r="BS34" s="191" t="n"/>
      <c r="BT34" s="192" t="n"/>
      <c r="BU34" s="38" t="n"/>
      <c r="BV34" s="39" t="n"/>
    </row>
    <row r="35" ht="23.1" customHeight="1" s="240">
      <c r="B35" s="194" t="inlineStr">
        <is>
          <t>6</t>
        </is>
      </c>
      <c r="C35" s="195" t="inlineStr">
        <is>
          <t>HU-15: Ejemplos visuales (4h)</t>
        </is>
      </c>
      <c r="D35" s="196" t="n"/>
      <c r="E35" s="197">
        <f>SUM(E36:E39)</f>
        <v/>
      </c>
      <c r="F35" s="198">
        <f>SUM(F36:F39)</f>
        <v/>
      </c>
      <c r="G35" s="199">
        <f>SUM(G36:G39)</f>
        <v/>
      </c>
      <c r="H35" s="200" t="n"/>
      <c r="I35" s="206" t="n">
        <v>46285</v>
      </c>
      <c r="J35" s="206" t="n">
        <v>46291</v>
      </c>
      <c r="K35" s="207">
        <f>J35-I35+1</f>
        <v/>
      </c>
      <c r="L35" s="201">
        <f>IFERROR(F35/E35,"")</f>
        <v/>
      </c>
      <c r="M35" s="73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5" t="n"/>
      <c r="AB35" s="73" t="n"/>
      <c r="AC35" s="74" t="n"/>
      <c r="AD35" s="74" t="n"/>
      <c r="AE35" s="74" t="n"/>
      <c r="AF35" s="74" t="n"/>
      <c r="AG35" s="74" t="n"/>
      <c r="AH35" s="74" t="n"/>
      <c r="AI35" s="74" t="n"/>
      <c r="AJ35" s="74" t="n"/>
      <c r="AK35" s="74" t="n"/>
      <c r="AL35" s="74" t="n"/>
      <c r="AM35" s="74" t="n"/>
      <c r="AN35" s="74" t="n"/>
      <c r="AO35" s="74" t="n"/>
      <c r="AP35" s="75" t="n"/>
      <c r="AQ35" s="73" t="n"/>
      <c r="AR35" s="74" t="n"/>
      <c r="AS35" s="74" t="n"/>
      <c r="AT35" s="74" t="n"/>
      <c r="AU35" s="74" t="n"/>
      <c r="AV35" s="74" t="n"/>
      <c r="AW35" s="74" t="n"/>
      <c r="AX35" s="74" t="n"/>
      <c r="AY35" s="74" t="n"/>
      <c r="AZ35" s="74" t="n"/>
      <c r="BA35" s="74" t="n"/>
      <c r="BB35" s="74" t="n"/>
      <c r="BC35" s="74" t="n"/>
      <c r="BD35" s="74" t="n"/>
      <c r="BE35" s="75" t="n"/>
      <c r="BF35" s="73" t="n"/>
      <c r="BG35" s="74" t="n"/>
      <c r="BH35" s="74" t="n"/>
      <c r="BI35" s="74" t="n"/>
      <c r="BJ35" s="74" t="n"/>
      <c r="BK35" s="191" t="n"/>
      <c r="BL35" s="191" t="n"/>
      <c r="BM35" s="191" t="n"/>
      <c r="BN35" s="191" t="n"/>
      <c r="BO35" s="191" t="n"/>
      <c r="BP35" s="191" t="n"/>
      <c r="BQ35" s="191" t="n"/>
      <c r="BR35" s="191" t="n"/>
      <c r="BS35" s="191" t="n"/>
      <c r="BT35" s="192" t="n"/>
      <c r="BU35" s="38" t="n"/>
      <c r="BV35" s="39" t="n"/>
    </row>
    <row r="36" ht="23.1" customHeight="1" s="240">
      <c r="B36" s="150" t="inlineStr">
        <is>
          <t>6.1</t>
        </is>
      </c>
      <c r="C36" t="inlineStr">
        <is>
          <t>Incluir imágenes de hojas sanas/enfermas.</t>
        </is>
      </c>
      <c r="D36" s="152" t="inlineStr">
        <is>
          <t>Yersson</t>
        </is>
      </c>
      <c r="E36" s="153" t="n">
        <v>1</v>
      </c>
      <c r="F36" s="154" t="n">
        <v>1</v>
      </c>
      <c r="G36" s="155">
        <f>E36-F36</f>
        <v/>
      </c>
      <c r="H36" s="212" t="n"/>
      <c r="I36" s="157" t="n"/>
      <c r="J36" s="158" t="n"/>
      <c r="K36" s="213" t="n"/>
      <c r="L36" s="201">
        <f>IFERROR(F36/E36,"")</f>
        <v/>
      </c>
      <c r="M36" s="73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5" t="n"/>
      <c r="AB36" s="73" t="n"/>
      <c r="AC36" s="74" t="n"/>
      <c r="AD36" s="74" t="n"/>
      <c r="AE36" s="74" t="n"/>
      <c r="AF36" s="74" t="n"/>
      <c r="AG36" s="74" t="n"/>
      <c r="AH36" s="74" t="n"/>
      <c r="AI36" s="74" t="n"/>
      <c r="AJ36" s="74" t="n"/>
      <c r="AK36" s="74" t="n"/>
      <c r="AL36" s="74" t="n"/>
      <c r="AM36" s="74" t="n"/>
      <c r="AN36" s="74" t="n"/>
      <c r="AO36" s="74" t="n"/>
      <c r="AP36" s="75" t="n"/>
      <c r="AQ36" s="73" t="n"/>
      <c r="AR36" s="74" t="n"/>
      <c r="AS36" s="74" t="n"/>
      <c r="AT36" s="74" t="n"/>
      <c r="AU36" s="74" t="n"/>
      <c r="AV36" s="74" t="n"/>
      <c r="AW36" s="74" t="n"/>
      <c r="AX36" s="74" t="n"/>
      <c r="AY36" s="74" t="n"/>
      <c r="AZ36" s="74" t="n"/>
      <c r="BA36" s="74" t="n"/>
      <c r="BB36" s="74" t="n"/>
      <c r="BC36" s="74" t="n"/>
      <c r="BD36" s="74" t="n"/>
      <c r="BE36" s="75" t="n"/>
      <c r="BF36" s="73" t="n"/>
      <c r="BG36" s="74" t="n"/>
      <c r="BH36" s="74" t="n"/>
      <c r="BI36" s="74" t="n"/>
      <c r="BJ36" s="74" t="n"/>
      <c r="BK36" s="191" t="n"/>
      <c r="BL36" s="191" t="n"/>
      <c r="BM36" s="191" t="n"/>
      <c r="BN36" s="191" t="n"/>
      <c r="BO36" s="191" t="n"/>
      <c r="BP36" s="191" t="n"/>
      <c r="BQ36" s="191" t="n"/>
      <c r="BR36" s="191" t="n"/>
      <c r="BS36" s="191" t="n"/>
      <c r="BT36" s="192" t="n"/>
      <c r="BU36" s="38" t="n"/>
      <c r="BV36" s="39" t="n"/>
    </row>
    <row r="37" ht="23.1" customHeight="1" s="240">
      <c r="B37" s="150" t="inlineStr">
        <is>
          <t>6.2</t>
        </is>
      </c>
      <c r="C37" t="inlineStr">
        <is>
          <t>Mostrar junto al diagnóstico.</t>
        </is>
      </c>
      <c r="D37" s="152" t="inlineStr">
        <is>
          <t>Yersson</t>
        </is>
      </c>
      <c r="E37" s="153" t="n">
        <v>1</v>
      </c>
      <c r="F37" s="154" t="n">
        <v>1</v>
      </c>
      <c r="G37" s="155">
        <f>E37-F37</f>
        <v/>
      </c>
      <c r="H37" s="212" t="n"/>
      <c r="I37" s="157" t="n"/>
      <c r="J37" s="158" t="n"/>
      <c r="K37" s="213" t="n"/>
      <c r="L37" s="201">
        <f>IFERROR(F37/E37,"")</f>
        <v/>
      </c>
      <c r="M37" s="73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5" t="n"/>
      <c r="AB37" s="73" t="n"/>
      <c r="AC37" s="74" t="n"/>
      <c r="AD37" s="74" t="n"/>
      <c r="AE37" s="74" t="n"/>
      <c r="AF37" s="74" t="n"/>
      <c r="AG37" s="74" t="n"/>
      <c r="AH37" s="74" t="n"/>
      <c r="AI37" s="74" t="n"/>
      <c r="AJ37" s="74" t="n"/>
      <c r="AK37" s="74" t="n"/>
      <c r="AL37" s="74" t="n"/>
      <c r="AM37" s="74" t="n"/>
      <c r="AN37" s="74" t="n"/>
      <c r="AO37" s="74" t="n"/>
      <c r="AP37" s="75" t="n"/>
      <c r="AQ37" s="73" t="n"/>
      <c r="AR37" s="74" t="n"/>
      <c r="AS37" s="74" t="n"/>
      <c r="AT37" s="74" t="n"/>
      <c r="AU37" s="74" t="n"/>
      <c r="AV37" s="74" t="n"/>
      <c r="AW37" s="74" t="n"/>
      <c r="AX37" s="74" t="n"/>
      <c r="AY37" s="74" t="n"/>
      <c r="AZ37" s="74" t="n"/>
      <c r="BA37" s="74" t="n"/>
      <c r="BB37" s="74" t="n"/>
      <c r="BC37" s="74" t="n"/>
      <c r="BD37" s="74" t="n"/>
      <c r="BE37" s="75" t="n"/>
      <c r="BF37" s="73" t="n"/>
      <c r="BG37" s="74" t="n"/>
      <c r="BH37" s="74" t="n"/>
      <c r="BI37" s="74" t="n"/>
      <c r="BJ37" s="74" t="n"/>
      <c r="BK37" s="191" t="n"/>
      <c r="BL37" s="191" t="n"/>
      <c r="BM37" s="191" t="n"/>
      <c r="BN37" s="191" t="n"/>
      <c r="BO37" s="191" t="n"/>
      <c r="BP37" s="191" t="n"/>
      <c r="BQ37" s="191" t="n"/>
      <c r="BR37" s="191" t="n"/>
      <c r="BS37" s="191" t="n"/>
      <c r="BT37" s="192" t="n"/>
      <c r="BU37" s="38" t="n"/>
      <c r="BV37" s="39" t="n"/>
    </row>
    <row r="38" ht="23.1" customHeight="1" s="240">
      <c r="B38" s="150" t="inlineStr">
        <is>
          <t>6.3</t>
        </is>
      </c>
      <c r="C38" t="inlineStr">
        <is>
          <t>Validar con dataset de referencia.</t>
        </is>
      </c>
      <c r="D38" s="152" t="inlineStr">
        <is>
          <t>Yersson</t>
        </is>
      </c>
      <c r="E38" s="153" t="n">
        <v>1</v>
      </c>
      <c r="F38" s="154" t="n">
        <v>1</v>
      </c>
      <c r="G38" s="155">
        <f>E38-F38</f>
        <v/>
      </c>
      <c r="H38" s="212" t="n"/>
      <c r="I38" s="157" t="n"/>
      <c r="J38" s="158" t="n"/>
      <c r="K38" s="213" t="n"/>
      <c r="L38" s="201">
        <f>IFERROR(F38/E38,"")</f>
        <v/>
      </c>
      <c r="M38" s="73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5" t="n"/>
      <c r="AB38" s="73" t="n"/>
      <c r="AC38" s="74" t="n"/>
      <c r="AD38" s="74" t="n"/>
      <c r="AE38" s="74" t="n"/>
      <c r="AF38" s="74" t="n"/>
      <c r="AG38" s="74" t="n"/>
      <c r="AH38" s="74" t="n"/>
      <c r="AI38" s="74" t="n"/>
      <c r="AJ38" s="74" t="n"/>
      <c r="AK38" s="74" t="n"/>
      <c r="AL38" s="74" t="n"/>
      <c r="AM38" s="74" t="n"/>
      <c r="AN38" s="74" t="n"/>
      <c r="AO38" s="74" t="n"/>
      <c r="AP38" s="75" t="n"/>
      <c r="AQ38" s="73" t="n"/>
      <c r="AR38" s="74" t="n"/>
      <c r="AS38" s="74" t="n"/>
      <c r="AT38" s="74" t="n"/>
      <c r="AU38" s="74" t="n"/>
      <c r="AV38" s="74" t="n"/>
      <c r="AW38" s="74" t="n"/>
      <c r="AX38" s="74" t="n"/>
      <c r="AY38" s="74" t="n"/>
      <c r="AZ38" s="74" t="n"/>
      <c r="BA38" s="74" t="n"/>
      <c r="BB38" s="74" t="n"/>
      <c r="BC38" s="74" t="n"/>
      <c r="BD38" s="74" t="n"/>
      <c r="BE38" s="75" t="n"/>
      <c r="BF38" s="73" t="n"/>
      <c r="BG38" s="74" t="n"/>
      <c r="BH38" s="74" t="n"/>
      <c r="BI38" s="74" t="n"/>
      <c r="BJ38" s="74" t="n"/>
      <c r="BK38" s="191" t="n"/>
      <c r="BL38" s="191" t="n"/>
      <c r="BM38" s="191" t="n"/>
      <c r="BN38" s="191" t="n"/>
      <c r="BO38" s="191" t="n"/>
      <c r="BP38" s="191" t="n"/>
      <c r="BQ38" s="191" t="n"/>
      <c r="BR38" s="191" t="n"/>
      <c r="BS38" s="191" t="n"/>
      <c r="BT38" s="192" t="n"/>
      <c r="BU38" s="38" t="n"/>
      <c r="BV38" s="39" t="n"/>
    </row>
    <row r="39" ht="23.1" customHeight="1" s="240" thickBot="1">
      <c r="B39" s="150" t="inlineStr">
        <is>
          <t>6.4</t>
        </is>
      </c>
      <c r="C39" t="inlineStr">
        <is>
          <t>Asegurar legibilidad en interfaz.</t>
        </is>
      </c>
      <c r="D39" s="152" t="inlineStr">
        <is>
          <t>Yersson</t>
        </is>
      </c>
      <c r="E39" s="219" t="n">
        <v>1</v>
      </c>
      <c r="F39" s="220" t="n">
        <v>1</v>
      </c>
      <c r="G39" s="190">
        <f>E39-F39</f>
        <v/>
      </c>
      <c r="H39" s="221" t="n"/>
      <c r="I39" s="222" t="n"/>
      <c r="J39" s="158" t="n"/>
      <c r="K39" s="214" t="n"/>
      <c r="L39" s="201">
        <f>IFERROR(F39/E39,"")</f>
        <v/>
      </c>
      <c r="M39" s="73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5" t="n"/>
      <c r="AB39" s="73" t="n"/>
      <c r="AC39" s="74" t="n"/>
      <c r="AD39" s="74" t="n"/>
      <c r="AE39" s="74" t="n"/>
      <c r="AF39" s="74" t="n"/>
      <c r="AG39" s="74" t="n"/>
      <c r="AH39" s="74" t="n"/>
      <c r="AI39" s="74" t="n"/>
      <c r="AJ39" s="74" t="n"/>
      <c r="AK39" s="74" t="n"/>
      <c r="AL39" s="74" t="n"/>
      <c r="AM39" s="74" t="n"/>
      <c r="AN39" s="74" t="n"/>
      <c r="AO39" s="74" t="n"/>
      <c r="AP39" s="75" t="n"/>
      <c r="AQ39" s="73" t="n"/>
      <c r="AR39" s="74" t="n"/>
      <c r="AS39" s="74" t="n"/>
      <c r="AT39" s="74" t="n"/>
      <c r="AU39" s="74" t="n"/>
      <c r="AV39" s="74" t="n"/>
      <c r="AW39" s="74" t="n"/>
      <c r="AX39" s="74" t="n"/>
      <c r="AY39" s="74" t="n"/>
      <c r="AZ39" s="74" t="n"/>
      <c r="BA39" s="74" t="n"/>
      <c r="BB39" s="74" t="n"/>
      <c r="BC39" s="74" t="n"/>
      <c r="BD39" s="74" t="n"/>
      <c r="BE39" s="75" t="n"/>
      <c r="BF39" s="73" t="n"/>
      <c r="BG39" s="74" t="n"/>
      <c r="BH39" s="74" t="n"/>
      <c r="BI39" s="74" t="n"/>
      <c r="BJ39" s="74" t="n"/>
      <c r="BK39" s="87" t="n"/>
      <c r="BL39" s="87" t="n"/>
      <c r="BM39" s="87" t="n"/>
      <c r="BN39" s="87" t="n"/>
      <c r="BO39" s="87" t="n"/>
      <c r="BP39" s="87" t="n"/>
      <c r="BQ39" s="87" t="n"/>
      <c r="BR39" s="87" t="n"/>
      <c r="BS39" s="87" t="n"/>
      <c r="BT39" s="89" t="n"/>
      <c r="BU39" s="38" t="n"/>
      <c r="BV39" s="39" t="n"/>
    </row>
    <row r="40" ht="23.1" customHeight="1" s="240">
      <c r="B40" s="38" t="n"/>
      <c r="D40" s="223" t="n"/>
      <c r="E40" s="224" t="inlineStr">
        <is>
          <t>ESTIMAR</t>
        </is>
      </c>
      <c r="F40" s="224" t="inlineStr">
        <is>
          <t>COMPLETADO</t>
        </is>
      </c>
      <c r="G40" s="224" t="inlineStr">
        <is>
          <t>RESTANTE</t>
        </is>
      </c>
      <c r="H40" s="224" t="inlineStr">
        <is>
          <t>DÍAS</t>
        </is>
      </c>
      <c r="I40" s="224" t="inlineStr">
        <is>
          <t>EST/ DÍAS</t>
        </is>
      </c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  <c r="BB40" s="38" t="n"/>
      <c r="BC40" s="38" t="n"/>
      <c r="BD40" s="38" t="n"/>
      <c r="BE40" s="38" t="n"/>
      <c r="BF40" s="38" t="n"/>
      <c r="BG40" s="38" t="n"/>
      <c r="BH40" s="38" t="n"/>
      <c r="BI40" s="38" t="n"/>
      <c r="BJ40" s="38" t="n"/>
      <c r="BK40" s="38" t="n"/>
      <c r="BL40" s="38" t="n"/>
      <c r="BM40" s="38" t="n"/>
      <c r="BN40" s="38" t="n"/>
      <c r="BO40" s="38" t="n"/>
      <c r="BP40" s="38" t="n"/>
      <c r="BQ40" s="38" t="n"/>
      <c r="BR40" s="38" t="n"/>
      <c r="BS40" s="38" t="n"/>
      <c r="BT40" s="38" t="n"/>
      <c r="BU40" s="38" t="n"/>
      <c r="BV40" s="39" t="n"/>
    </row>
    <row r="41" ht="23.1" customHeight="1" s="240">
      <c r="B41" s="38" t="n"/>
      <c r="C41" s="36" t="inlineStr">
        <is>
          <t>DATOS DE DESGASTE</t>
        </is>
      </c>
      <c r="D41" s="215" t="inlineStr">
        <is>
          <t>TOTAL DE HORAS</t>
        </is>
      </c>
      <c r="E41" s="216">
        <f>SUM(E11:E14,E16:E19,E21:E24,E26:E29,E31:E34,E36:E39)</f>
        <v/>
      </c>
      <c r="F41" s="216">
        <f>SUM(F11:F14,F16:F19,F21:F24,F26:F29,F31:F34,F36:F39)</f>
        <v/>
      </c>
      <c r="G41" s="216">
        <f>SUM(G11:G14,G16:G19,G21:G24,G26:G29,G31:G34,G36:G39)</f>
        <v/>
      </c>
      <c r="H41" s="217" t="n">
        <v>7</v>
      </c>
      <c r="I41" s="218">
        <f>E41/H41</f>
        <v/>
      </c>
      <c r="J41" s="38" t="n"/>
      <c r="K41" s="38" t="n"/>
      <c r="L41" s="182" t="inlineStr">
        <is>
          <t>DÍA</t>
        </is>
      </c>
      <c r="M41" s="95" t="n">
        <v>1</v>
      </c>
      <c r="N41" s="95" t="n">
        <v>2</v>
      </c>
      <c r="O41" s="95" t="n">
        <v>3</v>
      </c>
      <c r="P41" s="95" t="n">
        <v>4</v>
      </c>
      <c r="Q41" s="95" t="n">
        <v>5</v>
      </c>
      <c r="R41" s="95" t="n">
        <v>6</v>
      </c>
      <c r="S41" s="95" t="n">
        <v>7</v>
      </c>
      <c r="T41" s="95" t="n"/>
      <c r="U41" s="95" t="n"/>
      <c r="V41" s="95" t="n"/>
      <c r="W41" s="95" t="n"/>
      <c r="X41" s="95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  <c r="AI41" s="95" t="n"/>
      <c r="AJ41" s="95" t="n"/>
      <c r="AK41" s="95" t="n"/>
      <c r="AL41" s="95" t="n"/>
      <c r="AM41" s="95" t="n"/>
      <c r="AN41" s="95" t="n"/>
      <c r="AO41" s="95" t="n"/>
      <c r="AP41" s="95" t="n"/>
      <c r="AQ41" s="95" t="n"/>
      <c r="AR41" s="95" t="n"/>
      <c r="AS41" s="95" t="n"/>
      <c r="AT41" s="95" t="n"/>
      <c r="AU41" s="95" t="n"/>
      <c r="AV41" s="95" t="n"/>
      <c r="AW41" s="95" t="n"/>
      <c r="AX41" s="95" t="n"/>
      <c r="AY41" s="95" t="n"/>
      <c r="AZ41" s="95" t="n"/>
      <c r="BA41" s="95" t="n"/>
      <c r="BB41" s="95" t="n"/>
      <c r="BC41" s="95" t="n"/>
      <c r="BD41" s="95" t="n"/>
      <c r="BE41" s="95" t="n"/>
      <c r="BF41" s="95" t="n"/>
      <c r="BG41" s="95" t="n"/>
      <c r="BH41" s="95" t="n"/>
      <c r="BI41" s="95" t="n"/>
      <c r="BJ41" s="95" t="n"/>
      <c r="BK41" s="95" t="n"/>
      <c r="BL41" s="95" t="n"/>
      <c r="BM41" s="95" t="n"/>
      <c r="BN41" s="95" t="n"/>
      <c r="BO41" s="95" t="n"/>
      <c r="BP41" s="95" t="n"/>
      <c r="BQ41" s="95" t="n"/>
      <c r="BR41" s="95" t="n"/>
      <c r="BS41" s="95" t="n"/>
      <c r="BT41" s="95" t="n"/>
      <c r="BU41" s="38" t="n"/>
      <c r="BV41" s="137" t="inlineStr">
        <is>
          <t>TOTAL</t>
        </is>
      </c>
    </row>
    <row r="42" ht="23.1" customHeight="1" s="240">
      <c r="B42" s="38" t="n"/>
      <c r="C42" s="38" t="n"/>
      <c r="D42" s="38" t="n"/>
      <c r="E42" s="38" t="n"/>
      <c r="F42" s="38" t="n"/>
      <c r="G42" s="38" t="n"/>
      <c r="H42" s="96" t="inlineStr">
        <is>
          <t xml:space="preserve">     ^ Introduzca el número de días</t>
        </is>
      </c>
      <c r="I42" s="38" t="n"/>
      <c r="J42" s="38" t="n"/>
      <c r="K42" s="38" t="n"/>
      <c r="L42" s="182" t="inlineStr">
        <is>
          <t>PLAN</t>
        </is>
      </c>
      <c r="M42" s="97">
        <f>E41</f>
        <v/>
      </c>
      <c r="N42" s="98">
        <f>M42-I41</f>
        <v/>
      </c>
      <c r="O42" s="98">
        <f>N42-I41</f>
        <v/>
      </c>
      <c r="P42" s="98">
        <f>O42-I41</f>
        <v/>
      </c>
      <c r="Q42" s="98">
        <f>P42-I41</f>
        <v/>
      </c>
      <c r="R42" s="98">
        <f>Q42-I41</f>
        <v/>
      </c>
      <c r="S42" s="98">
        <f>R42-I41</f>
        <v/>
      </c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  <c r="AK42" s="98" t="n"/>
      <c r="AL42" s="98" t="n"/>
      <c r="AM42" s="98" t="n"/>
      <c r="AN42" s="98" t="n"/>
      <c r="AO42" s="98" t="n"/>
      <c r="AP42" s="98" t="n"/>
      <c r="AQ42" s="98" t="n"/>
      <c r="AR42" s="98" t="n"/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38" t="n"/>
      <c r="BV42" s="138" t="inlineStr">
        <is>
          <t>HORAS</t>
        </is>
      </c>
    </row>
    <row r="43" ht="23.1" customHeight="1" s="240"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182" t="inlineStr">
        <is>
          <t>ESTIMAR</t>
        </is>
      </c>
      <c r="M43" s="97">
        <f>E41</f>
        <v/>
      </c>
      <c r="N43" s="97">
        <f>M45</f>
        <v/>
      </c>
      <c r="O43" s="97">
        <f>N45</f>
        <v/>
      </c>
      <c r="P43" s="97">
        <f>O45</f>
        <v/>
      </c>
      <c r="Q43" s="97">
        <f>P45</f>
        <v/>
      </c>
      <c r="R43" s="97">
        <f>Q45</f>
        <v/>
      </c>
      <c r="S43" s="97">
        <f>R45</f>
        <v/>
      </c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  <c r="BH43" s="97" t="n"/>
      <c r="BI43" s="97" t="n"/>
      <c r="BJ43" s="97" t="n"/>
      <c r="BK43" s="97" t="n"/>
      <c r="BL43" s="97" t="n"/>
      <c r="BM43" s="97" t="n"/>
      <c r="BN43" s="97" t="n"/>
      <c r="BO43" s="97" t="n"/>
      <c r="BP43" s="97" t="n"/>
      <c r="BQ43" s="97" t="n"/>
      <c r="BR43" s="97" t="n"/>
      <c r="BS43" s="97" t="n"/>
      <c r="BT43" s="97" t="n"/>
      <c r="BU43" s="38" t="n"/>
      <c r="BV43" s="139">
        <f>SUM(M43:BT43)</f>
        <v/>
      </c>
    </row>
    <row r="44" ht="23.1" customHeight="1" s="240"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99" t="inlineStr">
        <is>
          <t>Introduzca las horas completadas por día ----&gt;</t>
        </is>
      </c>
      <c r="L44" s="182" t="inlineStr">
        <is>
          <t>HRS COMPLETADO</t>
        </is>
      </c>
      <c r="M44" s="76" t="n">
        <v>0</v>
      </c>
      <c r="N44" s="76" t="n">
        <v>12</v>
      </c>
      <c r="O44" s="76" t="n">
        <v>10</v>
      </c>
      <c r="P44" s="76" t="n">
        <v>4</v>
      </c>
      <c r="Q44" s="76" t="n">
        <v>12</v>
      </c>
      <c r="R44" s="76" t="n">
        <v>6</v>
      </c>
      <c r="S44" s="76" t="n">
        <v>12</v>
      </c>
      <c r="T44" s="76" t="n"/>
      <c r="U44" s="76" t="n"/>
      <c r="V44" s="76" t="n"/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  <c r="AH44" s="76" t="n"/>
      <c r="AI44" s="76" t="n"/>
      <c r="AJ44" s="76" t="n"/>
      <c r="AK44" s="76" t="n"/>
      <c r="AL44" s="76" t="n"/>
      <c r="AM44" s="76" t="n"/>
      <c r="AN44" s="76" t="n"/>
      <c r="AO44" s="76" t="n"/>
      <c r="AP44" s="76" t="n"/>
      <c r="AQ44" s="76" t="n"/>
      <c r="AR44" s="76" t="n"/>
      <c r="AS44" s="76" t="n"/>
      <c r="AT44" s="76" t="n"/>
      <c r="AU44" s="76" t="n"/>
      <c r="AV44" s="76" t="n"/>
      <c r="AW44" s="76" t="n"/>
      <c r="AX44" s="76" t="n"/>
      <c r="AY44" s="76" t="n"/>
      <c r="AZ44" s="76" t="n"/>
      <c r="BA44" s="76" t="n"/>
      <c r="BB44" s="76" t="n"/>
      <c r="BC44" s="76" t="n"/>
      <c r="BD44" s="76" t="n"/>
      <c r="BE44" s="76" t="n"/>
      <c r="BF44" s="76" t="n"/>
      <c r="BG44" s="76" t="n"/>
      <c r="BH44" s="76" t="n"/>
      <c r="BI44" s="76" t="n"/>
      <c r="BJ44" s="76" t="n"/>
      <c r="BK44" s="76" t="n"/>
      <c r="BL44" s="76" t="n"/>
      <c r="BM44" s="76" t="n"/>
      <c r="BN44" s="76" t="n"/>
      <c r="BO44" s="76" t="n"/>
      <c r="BP44" s="76" t="n"/>
      <c r="BQ44" s="76" t="n"/>
      <c r="BR44" s="76" t="n"/>
      <c r="BS44" s="76" t="n"/>
      <c r="BT44" s="76" t="n"/>
      <c r="BU44" s="38" t="n"/>
      <c r="BV44" s="140">
        <f>SUM(M44:BT44)</f>
        <v/>
      </c>
    </row>
    <row r="45" ht="23.1" customHeight="1" s="240"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182" t="inlineStr">
        <is>
          <t>HRS RESTANTE</t>
        </is>
      </c>
      <c r="M45" s="97">
        <f>M43-M44</f>
        <v/>
      </c>
      <c r="N45" s="97">
        <f>N43-N44</f>
        <v/>
      </c>
      <c r="O45" s="97">
        <f>O43-O44</f>
        <v/>
      </c>
      <c r="P45" s="97">
        <f>P43-P44</f>
        <v/>
      </c>
      <c r="Q45" s="97">
        <f>Q43-Q44</f>
        <v/>
      </c>
      <c r="R45" s="97">
        <f>R43-R44</f>
        <v/>
      </c>
      <c r="S45" s="97">
        <f>S43-S44</f>
        <v/>
      </c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  <c r="BJ45" s="97" t="n"/>
      <c r="BK45" s="97" t="n"/>
      <c r="BL45" s="97" t="n"/>
      <c r="BM45" s="97" t="n"/>
      <c r="BN45" s="97" t="n"/>
      <c r="BO45" s="97" t="n"/>
      <c r="BP45" s="97" t="n"/>
      <c r="BQ45" s="97" t="n"/>
      <c r="BR45" s="97" t="n"/>
      <c r="BS45" s="97" t="n"/>
      <c r="BT45" s="97" t="n"/>
      <c r="BU45" s="38" t="n"/>
      <c r="BV45" s="140">
        <f>SUM(M45:BT45)</f>
        <v/>
      </c>
    </row>
    <row r="46" ht="19.5" customHeight="1" s="240">
      <c r="C46" s="36" t="inlineStr">
        <is>
          <t>GRÁFICO DE BURNDOWN</t>
        </is>
      </c>
      <c r="I46" s="210" t="n"/>
    </row>
    <row r="47" ht="381.95" customHeight="1" s="240"/>
    <row r="48" ht="216.95" customHeight="1" s="240"/>
    <row r="49"/>
    <row r="50" ht="50.1" customHeight="1" s="240">
      <c r="B50" s="239" t="n"/>
    </row>
  </sheetData>
  <mergeCells count="23">
    <mergeCell ref="R8:V8"/>
    <mergeCell ref="B8:B9"/>
    <mergeCell ref="BA8:BE8"/>
    <mergeCell ref="AV8:AZ8"/>
    <mergeCell ref="L8:L9"/>
    <mergeCell ref="K3:K7"/>
    <mergeCell ref="BF8:BJ8"/>
    <mergeCell ref="BP8:BT8"/>
    <mergeCell ref="C8:C9"/>
    <mergeCell ref="I8:I9"/>
    <mergeCell ref="AQ8:AU8"/>
    <mergeCell ref="K8:K9"/>
    <mergeCell ref="BK8:BO8"/>
    <mergeCell ref="D8:D9"/>
    <mergeCell ref="B50:BV50"/>
    <mergeCell ref="AB8:AF8"/>
    <mergeCell ref="M8:Q8"/>
    <mergeCell ref="AL8:AP8"/>
    <mergeCell ref="W8:AA8"/>
    <mergeCell ref="H8:H9"/>
    <mergeCell ref="J8:J9"/>
    <mergeCell ref="E8:G8"/>
    <mergeCell ref="AG8:AK8"/>
  </mergeCells>
  <conditionalFormatting sqref="L10">
    <cfRule type="dataBar" priority="3">
      <dataBar>
        <cfvo type="percent" val="0"/>
        <cfvo type="percent" val="100"/>
        <color rgb="FF638EC6"/>
      </dataBar>
    </cfRule>
  </conditionalFormatting>
  <conditionalFormatting sqref="L10:L14">
    <cfRule type="dataBar" priority="5">
      <dataBar>
        <cfvo type="percent" val="1"/>
        <cfvo type="percent" val="100"/>
        <color theme="8" tint="0.5999938962981048"/>
      </dataBar>
    </cfRule>
  </conditionalFormatting>
  <conditionalFormatting sqref="L10:L39">
    <cfRule type="dataBar" priority="1">
      <dataBar>
        <cfvo type="min"/>
        <cfvo type="max"/>
        <color rgb="FF638EC6"/>
      </dataBar>
    </cfRule>
    <cfRule type="dataBar" priority="2">
      <dataBar>
        <cfvo type="num" val="0"/>
        <cfvo type="num" val="1"/>
        <color rgb="FF638EC6"/>
      </dataBar>
    </cfRule>
  </conditionalFormatting>
  <conditionalFormatting sqref="L15:L39">
    <cfRule type="dataBar" priority="4">
      <dataBar>
        <cfvo type="percent" val="1"/>
        <cfvo type="percent" val="100"/>
        <color theme="8" tint="0.5999938962981048"/>
      </dataBar>
    </cfRule>
  </conditionalFormatting>
  <pageMargins left="0.3" right="0.3" top="0.3" bottom="0.3" header="0" footer="0"/>
  <pageSetup orientation="landscape" scale="32" fitToHeight="0" horizontalDpi="0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 fitToPage="1"/>
  </sheetPr>
  <dimension ref="A1:BV44"/>
  <sheetViews>
    <sheetView showGridLines="0" zoomScale="145" zoomScaleNormal="145" zoomScalePageLayoutView="70" workbookViewId="0">
      <pane ySplit="1" topLeftCell="A17" activePane="bottomLeft" state="frozen"/>
      <selection pane="bottomLeft" activeCell="S38" sqref="S38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30.2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5" customWidth="1" style="241" min="74" max="74"/>
    <col width="3.25" customWidth="1" style="240" min="75" max="75"/>
    <col width="11.125" customWidth="1" style="240" min="76" max="16384"/>
  </cols>
  <sheetData>
    <row r="1" ht="45" customHeight="1" s="240">
      <c r="A1" s="31" t="n"/>
      <c r="B1" s="32" t="inlineStr">
        <is>
          <t>Implementación de sistema de visión por computadora con CNN para diagnóstico de enfermedades en hojas de cultivos andinos en comunidades de Cusco</t>
        </is>
      </c>
      <c r="C1" s="33" t="n"/>
      <c r="D1" s="33" t="n"/>
      <c r="E1" s="33" t="n"/>
      <c r="F1" s="33" t="n"/>
      <c r="G1" s="33" t="n"/>
      <c r="H1" s="33" t="n"/>
      <c r="I1" s="33" t="n"/>
      <c r="J1" s="34" t="n"/>
      <c r="K1" s="34" t="n"/>
      <c r="L1" s="34" t="n"/>
      <c r="M1" s="34" t="n"/>
      <c r="N1" s="34" t="n"/>
      <c r="O1" s="34" t="n"/>
      <c r="P1" s="34" t="n"/>
    </row>
    <row r="2" ht="35.1" customFormat="1" customHeight="1" s="241" thickBot="1">
      <c r="B2" s="106" t="n"/>
      <c r="C2" s="37" t="n"/>
      <c r="D2" s="37" t="n"/>
      <c r="E2" s="37" t="n"/>
      <c r="F2" s="36" t="n"/>
      <c r="G2" s="37" t="n"/>
      <c r="H2" s="37" t="n"/>
      <c r="I2" s="37" t="n"/>
      <c r="J2" s="37" t="n"/>
      <c r="K2" s="37" t="n"/>
      <c r="L2" s="37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5" t="inlineStr">
        <is>
          <t>SPRINTS</t>
        </is>
      </c>
      <c r="L3" s="42" t="inlineStr">
        <is>
          <t>SPRINT 1</t>
        </is>
      </c>
      <c r="M3" s="43" t="n"/>
      <c r="N3" s="43" t="n"/>
      <c r="O3" s="43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6" t="n"/>
      <c r="BU3" s="38" t="n"/>
      <c r="BV3" s="39" t="n"/>
    </row>
    <row r="4" ht="23.1" customHeight="1" s="240"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246" t="n"/>
      <c r="L4" s="47" t="inlineStr">
        <is>
          <t>SPRINT 2</t>
        </is>
      </c>
      <c r="M4" s="48" t="n"/>
      <c r="N4" s="48" t="n"/>
      <c r="O4" s="48" t="n"/>
      <c r="P4" s="49" t="n"/>
      <c r="Q4" s="49" t="n"/>
      <c r="R4" s="49" t="n"/>
      <c r="S4" s="49" t="n"/>
      <c r="T4" s="49" t="n"/>
      <c r="U4" s="49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2" t="inlineStr">
        <is>
          <t>SPRINT 3</t>
        </is>
      </c>
      <c r="M5" s="48" t="n"/>
      <c r="N5" s="48" t="n"/>
      <c r="O5" s="48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6" t="n"/>
      <c r="L6" s="54" t="inlineStr">
        <is>
          <t>SPRINT 4</t>
        </is>
      </c>
      <c r="M6" s="48" t="n"/>
      <c r="N6" s="48" t="n"/>
      <c r="O6" s="48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 thickBot="1">
      <c r="B7" s="36" t="n"/>
      <c r="C7" s="37" t="n"/>
      <c r="D7" s="37" t="n"/>
      <c r="E7" s="37" t="n"/>
      <c r="F7" s="37" t="n"/>
      <c r="G7" s="37" t="n"/>
      <c r="H7" s="37" t="n"/>
      <c r="I7" s="36" t="n"/>
      <c r="J7" s="37" t="n"/>
      <c r="K7" s="247" t="n"/>
      <c r="L7" s="56" t="inlineStr">
        <is>
          <t>SPRINT 5</t>
        </is>
      </c>
      <c r="M7" s="48" t="n"/>
      <c r="N7" s="48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51" t="n"/>
      <c r="BU7" s="38" t="n"/>
      <c r="BV7" s="39" t="n"/>
    </row>
    <row r="8" ht="23.1" customHeight="1" s="240" thickBot="1">
      <c r="B8" s="262" t="inlineStr">
        <is>
          <t>ESTRUCTURA DE DESGLOSE DEL TRABAJO</t>
        </is>
      </c>
      <c r="C8" s="270" t="inlineStr">
        <is>
          <t>TÍTULO DE LA TAREA</t>
        </is>
      </c>
      <c r="D8" s="266" t="inlineStr">
        <is>
          <t>PROPIETARIO DE LA TAREA</t>
        </is>
      </c>
      <c r="E8" s="242" t="inlineStr">
        <is>
          <t>CANTIDAD DE TRABAJO EN HORAS</t>
        </is>
      </c>
      <c r="F8" s="243" t="n"/>
      <c r="G8" s="244" t="n"/>
      <c r="H8" s="264" t="inlineStr">
        <is>
          <t>CARRERA</t>
        </is>
      </c>
      <c r="I8" s="268" t="inlineStr">
        <is>
          <t>FECHA DE INICIO</t>
        </is>
      </c>
      <c r="J8" s="269" t="inlineStr">
        <is>
          <t>FECHA DE VENCIMIENTO</t>
        </is>
      </c>
      <c r="K8" s="248" t="inlineStr">
        <is>
          <t>DURACIÓN</t>
        </is>
      </c>
      <c r="L8" s="250" t="inlineStr">
        <is>
          <t>PCT DE TAREA COMPLETADA</t>
        </is>
      </c>
      <c r="M8" s="252" t="inlineStr">
        <is>
          <t>SEMANA 1</t>
        </is>
      </c>
      <c r="N8" s="253" t="n"/>
      <c r="O8" s="253" t="n"/>
      <c r="P8" s="253" t="n"/>
      <c r="Q8" s="254" t="n"/>
      <c r="R8" s="255" t="inlineStr">
        <is>
          <t>SEMANA 2</t>
        </is>
      </c>
      <c r="S8" s="253" t="n"/>
      <c r="T8" s="253" t="n"/>
      <c r="U8" s="253" t="n"/>
      <c r="V8" s="254" t="n"/>
      <c r="W8" s="255" t="inlineStr">
        <is>
          <t>SEMANA 3</t>
        </is>
      </c>
      <c r="X8" s="253" t="n"/>
      <c r="Y8" s="253" t="n"/>
      <c r="Z8" s="253" t="n"/>
      <c r="AA8" s="254" t="n"/>
      <c r="AB8" s="257" t="inlineStr">
        <is>
          <t>SEMANA 4</t>
        </is>
      </c>
      <c r="AC8" s="253" t="n"/>
      <c r="AD8" s="253" t="n"/>
      <c r="AE8" s="253" t="n"/>
      <c r="AF8" s="254" t="n"/>
      <c r="AG8" s="258" t="inlineStr">
        <is>
          <t>SEMANA 5</t>
        </is>
      </c>
      <c r="AH8" s="253" t="n"/>
      <c r="AI8" s="253" t="n"/>
      <c r="AJ8" s="253" t="n"/>
      <c r="AK8" s="254" t="n"/>
      <c r="AL8" s="258" t="inlineStr">
        <is>
          <t>SEMANA 6</t>
        </is>
      </c>
      <c r="AM8" s="253" t="n"/>
      <c r="AN8" s="253" t="n"/>
      <c r="AO8" s="253" t="n"/>
      <c r="AP8" s="254" t="n"/>
      <c r="AQ8" s="256" t="inlineStr">
        <is>
          <t>SEMANA 7</t>
        </is>
      </c>
      <c r="AR8" s="253" t="n"/>
      <c r="AS8" s="253" t="n"/>
      <c r="AT8" s="253" t="n"/>
      <c r="AU8" s="254" t="n"/>
      <c r="AV8" s="259" t="inlineStr">
        <is>
          <t>SEMANA 8</t>
        </is>
      </c>
      <c r="AW8" s="253" t="n"/>
      <c r="AX8" s="253" t="n"/>
      <c r="AY8" s="253" t="n"/>
      <c r="AZ8" s="254" t="n"/>
      <c r="BA8" s="259" t="inlineStr">
        <is>
          <t>SEMANA 9</t>
        </is>
      </c>
      <c r="BB8" s="253" t="n"/>
      <c r="BC8" s="253" t="n"/>
      <c r="BD8" s="253" t="n"/>
      <c r="BE8" s="254" t="n"/>
      <c r="BF8" s="260" t="inlineStr">
        <is>
          <t>SEMANA 10</t>
        </is>
      </c>
      <c r="BG8" s="253" t="n"/>
      <c r="BH8" s="253" t="n"/>
      <c r="BI8" s="253" t="n"/>
      <c r="BJ8" s="254" t="n"/>
      <c r="BK8" s="261" t="n"/>
      <c r="BL8" s="253" t="n"/>
      <c r="BM8" s="253" t="n"/>
      <c r="BN8" s="253" t="n"/>
      <c r="BO8" s="254" t="n"/>
      <c r="BP8" s="261" t="n"/>
      <c r="BQ8" s="253" t="n"/>
      <c r="BR8" s="253" t="n"/>
      <c r="BS8" s="253" t="n"/>
      <c r="BT8" s="254" t="n"/>
      <c r="BU8" s="38" t="n"/>
      <c r="BV8" s="39" t="n"/>
    </row>
    <row r="9" ht="23.1" customHeight="1" s="240" thickBot="1" thickTop="1">
      <c r="B9" s="263" t="n"/>
      <c r="C9" s="271" t="n"/>
      <c r="D9" s="267" t="n"/>
      <c r="E9" s="58" t="inlineStr">
        <is>
          <t>ESTIMAR</t>
        </is>
      </c>
      <c r="F9" s="59" t="inlineStr">
        <is>
          <t>COMPLETADO</t>
        </is>
      </c>
      <c r="G9" s="60" t="inlineStr">
        <is>
          <t>RESTANTE</t>
        </is>
      </c>
      <c r="H9" s="265" t="n"/>
      <c r="I9" s="254" t="n"/>
      <c r="J9" s="249" t="n"/>
      <c r="K9" s="249" t="n"/>
      <c r="L9" s="251" t="n"/>
      <c r="M9" s="61" t="inlineStr">
        <is>
          <t>M</t>
        </is>
      </c>
      <c r="N9" s="62" t="inlineStr">
        <is>
          <t>T</t>
        </is>
      </c>
      <c r="O9" s="62" t="inlineStr">
        <is>
          <t>W</t>
        </is>
      </c>
      <c r="P9" s="62" t="inlineStr">
        <is>
          <t>R</t>
        </is>
      </c>
      <c r="Q9" s="62" t="inlineStr">
        <is>
          <t>F</t>
        </is>
      </c>
      <c r="R9" s="62" t="inlineStr">
        <is>
          <t>M</t>
        </is>
      </c>
      <c r="S9" s="62" t="inlineStr">
        <is>
          <t>T</t>
        </is>
      </c>
      <c r="T9" s="62" t="inlineStr">
        <is>
          <t>W</t>
        </is>
      </c>
      <c r="U9" s="62" t="inlineStr">
        <is>
          <t>R</t>
        </is>
      </c>
      <c r="V9" s="62" t="inlineStr">
        <is>
          <t>F</t>
        </is>
      </c>
      <c r="W9" s="62" t="inlineStr">
        <is>
          <t>M</t>
        </is>
      </c>
      <c r="X9" s="62" t="inlineStr">
        <is>
          <t>T</t>
        </is>
      </c>
      <c r="Y9" s="62" t="inlineStr">
        <is>
          <t>W</t>
        </is>
      </c>
      <c r="Z9" s="62" t="inlineStr">
        <is>
          <t>R</t>
        </is>
      </c>
      <c r="AA9" s="63" t="inlineStr">
        <is>
          <t>F</t>
        </is>
      </c>
      <c r="AB9" s="64" t="inlineStr">
        <is>
          <t>M</t>
        </is>
      </c>
      <c r="AC9" s="65" t="inlineStr">
        <is>
          <t>T</t>
        </is>
      </c>
      <c r="AD9" s="65" t="inlineStr">
        <is>
          <t>W</t>
        </is>
      </c>
      <c r="AE9" s="65" t="inlineStr">
        <is>
          <t>R</t>
        </is>
      </c>
      <c r="AF9" s="65" t="inlineStr">
        <is>
          <t>F</t>
        </is>
      </c>
      <c r="AG9" s="65" t="inlineStr">
        <is>
          <t>M</t>
        </is>
      </c>
      <c r="AH9" s="65" t="inlineStr">
        <is>
          <t>T</t>
        </is>
      </c>
      <c r="AI9" s="65" t="inlineStr">
        <is>
          <t>W</t>
        </is>
      </c>
      <c r="AJ9" s="65" t="inlineStr">
        <is>
          <t>R</t>
        </is>
      </c>
      <c r="AK9" s="65" t="inlineStr">
        <is>
          <t>F</t>
        </is>
      </c>
      <c r="AL9" s="65" t="inlineStr">
        <is>
          <t>M</t>
        </is>
      </c>
      <c r="AM9" s="65" t="inlineStr">
        <is>
          <t>T</t>
        </is>
      </c>
      <c r="AN9" s="65" t="inlineStr">
        <is>
          <t>W</t>
        </is>
      </c>
      <c r="AO9" s="65" t="inlineStr">
        <is>
          <t>R</t>
        </is>
      </c>
      <c r="AP9" s="66" t="inlineStr">
        <is>
          <t>F</t>
        </is>
      </c>
      <c r="AQ9" s="67" t="inlineStr">
        <is>
          <t>M</t>
        </is>
      </c>
      <c r="AR9" s="68" t="inlineStr">
        <is>
          <t>T</t>
        </is>
      </c>
      <c r="AS9" s="68" t="inlineStr">
        <is>
          <t>W</t>
        </is>
      </c>
      <c r="AT9" s="68" t="inlineStr">
        <is>
          <t>R</t>
        </is>
      </c>
      <c r="AU9" s="68" t="inlineStr">
        <is>
          <t>F</t>
        </is>
      </c>
      <c r="AV9" s="68" t="inlineStr">
        <is>
          <t>M</t>
        </is>
      </c>
      <c r="AW9" s="68" t="inlineStr">
        <is>
          <t>T</t>
        </is>
      </c>
      <c r="AX9" s="68" t="inlineStr">
        <is>
          <t>W</t>
        </is>
      </c>
      <c r="AY9" s="68" t="inlineStr">
        <is>
          <t>R</t>
        </is>
      </c>
      <c r="AZ9" s="68" t="inlineStr">
        <is>
          <t>F</t>
        </is>
      </c>
      <c r="BA9" s="68" t="inlineStr">
        <is>
          <t>M</t>
        </is>
      </c>
      <c r="BB9" s="68" t="inlineStr">
        <is>
          <t>T</t>
        </is>
      </c>
      <c r="BC9" s="68" t="inlineStr">
        <is>
          <t>W</t>
        </is>
      </c>
      <c r="BD9" s="68" t="inlineStr">
        <is>
          <t>R</t>
        </is>
      </c>
      <c r="BE9" s="69" t="inlineStr">
        <is>
          <t>F</t>
        </is>
      </c>
      <c r="BF9" s="70" t="inlineStr">
        <is>
          <t>M</t>
        </is>
      </c>
      <c r="BG9" s="71" t="inlineStr">
        <is>
          <t>T</t>
        </is>
      </c>
      <c r="BH9" s="71" t="inlineStr">
        <is>
          <t>W</t>
        </is>
      </c>
      <c r="BI9" s="71" t="inlineStr">
        <is>
          <t>R</t>
        </is>
      </c>
      <c r="BJ9" s="71" t="inlineStr">
        <is>
          <t>F</t>
        </is>
      </c>
      <c r="BK9" s="188" t="n"/>
      <c r="BL9" s="188" t="n"/>
      <c r="BM9" s="188" t="n"/>
      <c r="BN9" s="188" t="n"/>
      <c r="BO9" s="188" t="n"/>
      <c r="BP9" s="188" t="n"/>
      <c r="BQ9" s="188" t="n"/>
      <c r="BR9" s="188" t="n"/>
      <c r="BS9" s="188" t="n"/>
      <c r="BT9" s="189" t="n"/>
      <c r="BU9" s="38" t="n"/>
      <c r="BV9" s="39" t="n"/>
    </row>
    <row r="10" ht="23.1" customHeight="1" s="240" thickTop="1">
      <c r="B10" s="202" t="n">
        <v>1</v>
      </c>
      <c r="C10" s="203" t="inlineStr">
        <is>
          <t>HU-12: Transfer Learning (16h)</t>
        </is>
      </c>
      <c r="D10" s="204" t="n"/>
      <c r="E10" s="197">
        <f>SUM(E11:E13)</f>
        <v/>
      </c>
      <c r="F10" s="198">
        <f>SUM(F11:F13)</f>
        <v/>
      </c>
      <c r="G10" s="199">
        <f>SUM(G11:G13)</f>
        <v/>
      </c>
      <c r="H10" s="205" t="n"/>
      <c r="I10" s="206" t="n">
        <v>46292</v>
      </c>
      <c r="J10" s="206" t="n">
        <v>46298</v>
      </c>
      <c r="K10" s="207">
        <f>J10-I10+1</f>
        <v/>
      </c>
      <c r="L10" s="201">
        <f>IFERROR(F10/E10,"")</f>
        <v/>
      </c>
      <c r="M10" s="73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5" t="n"/>
      <c r="AB10" s="73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5" t="n"/>
      <c r="AQ10" s="73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5" t="n"/>
      <c r="BF10" s="73" t="n"/>
      <c r="BG10" s="74" t="n"/>
      <c r="BH10" s="74" t="n"/>
      <c r="BI10" s="74" t="n"/>
      <c r="BJ10" s="74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81" t="n"/>
      <c r="BU10" s="38" t="n"/>
      <c r="BV10" s="39" t="n"/>
    </row>
    <row r="11" ht="23.1" customHeight="1" s="240">
      <c r="B11" s="150" t="inlineStr">
        <is>
          <t>1.1</t>
        </is>
      </c>
      <c r="C11" t="inlineStr">
        <is>
          <t>Seleccionar modelo preentrenado (ResNet, VGG, EfficientNet).</t>
        </is>
      </c>
      <c r="D11" s="152" t="inlineStr">
        <is>
          <t>Yersson</t>
        </is>
      </c>
      <c r="E11" s="153" t="n">
        <v>4</v>
      </c>
      <c r="F11" s="154" t="n">
        <v>4</v>
      </c>
      <c r="G11" s="155">
        <f>E11-F11</f>
        <v/>
      </c>
      <c r="H11" s="156" t="n"/>
      <c r="I11" s="211" t="n"/>
      <c r="J11" s="211" t="n"/>
      <c r="K11" s="213" t="n"/>
      <c r="L11" s="201">
        <f>IFERROR(F11/E11,"")</f>
        <v/>
      </c>
      <c r="M11" s="77" t="n"/>
      <c r="N11" s="78" t="n"/>
      <c r="O11" s="78" t="n"/>
      <c r="P11" s="78" t="n"/>
      <c r="Q11" s="79" t="n"/>
      <c r="R11" s="79" t="n"/>
      <c r="S11" s="79" t="n"/>
      <c r="T11" s="79" t="n"/>
      <c r="U11" s="80" t="n"/>
      <c r="V11" s="80" t="n"/>
      <c r="W11" s="78" t="n"/>
      <c r="X11" s="78" t="n"/>
      <c r="Y11" s="78" t="n"/>
      <c r="Z11" s="78" t="n"/>
      <c r="AA11" s="81" t="n"/>
      <c r="AB11" s="77" t="n"/>
      <c r="AC11" s="78" t="n"/>
      <c r="AD11" s="78" t="n"/>
      <c r="AE11" s="78" t="n"/>
      <c r="AF11" s="78" t="n"/>
      <c r="AG11" s="82" t="n"/>
      <c r="AH11" s="82" t="n"/>
      <c r="AI11" s="82" t="n"/>
      <c r="AJ11" s="82" t="n"/>
      <c r="AK11" s="82" t="n"/>
      <c r="AL11" s="78" t="n"/>
      <c r="AM11" s="78" t="n"/>
      <c r="AN11" s="78" t="n"/>
      <c r="AO11" s="78" t="n"/>
      <c r="AP11" s="81" t="n"/>
      <c r="AQ11" s="77" t="n"/>
      <c r="AR11" s="78" t="n"/>
      <c r="AS11" s="78" t="n"/>
      <c r="AT11" s="78" t="n"/>
      <c r="AU11" s="78" t="n"/>
      <c r="AV11" s="83" t="n"/>
      <c r="AW11" s="83" t="n"/>
      <c r="AX11" s="83" t="n"/>
      <c r="AY11" s="83" t="n"/>
      <c r="AZ11" s="83" t="n"/>
      <c r="BA11" s="78" t="n"/>
      <c r="BB11" s="78" t="n"/>
      <c r="BC11" s="78" t="n"/>
      <c r="BD11" s="78" t="n"/>
      <c r="BE11" s="81" t="n"/>
      <c r="BF11" s="77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81" t="n"/>
      <c r="BU11" s="38" t="n"/>
      <c r="BV11" s="39" t="n"/>
    </row>
    <row r="12" ht="23.1" customHeight="1" s="240">
      <c r="B12" s="150" t="inlineStr">
        <is>
          <t>1.2</t>
        </is>
      </c>
      <c r="C12" t="inlineStr">
        <is>
          <t>Adaptar capas finales para 39 categorías de enfermedades.</t>
        </is>
      </c>
      <c r="D12" s="152" t="inlineStr">
        <is>
          <t>Yersson</t>
        </is>
      </c>
      <c r="E12" s="153" t="n">
        <v>8</v>
      </c>
      <c r="F12" s="154" t="n">
        <v>8</v>
      </c>
      <c r="G12" s="155">
        <f>E12-F12</f>
        <v/>
      </c>
      <c r="H12" s="163" t="n"/>
      <c r="I12" s="211" t="n"/>
      <c r="J12" s="211" t="n"/>
      <c r="K12" s="213" t="n"/>
      <c r="L12" s="201">
        <f>IFERROR(F12/E12,"")</f>
        <v/>
      </c>
      <c r="M12" s="77" t="n"/>
      <c r="N12" s="78" t="n"/>
      <c r="O12" s="78" t="n"/>
      <c r="P12" s="78" t="n"/>
      <c r="Q12" s="78" t="n"/>
      <c r="R12" s="80" t="n"/>
      <c r="S12" s="80" t="n"/>
      <c r="T12" s="79" t="n"/>
      <c r="U12" s="79" t="n"/>
      <c r="V12" s="80" t="n"/>
      <c r="W12" s="78" t="n"/>
      <c r="X12" s="78" t="n"/>
      <c r="Y12" s="78" t="n"/>
      <c r="Z12" s="78" t="n"/>
      <c r="AA12" s="81" t="n"/>
      <c r="AB12" s="77" t="n"/>
      <c r="AC12" s="78" t="n"/>
      <c r="AD12" s="78" t="n"/>
      <c r="AE12" s="78" t="n"/>
      <c r="AF12" s="78" t="n"/>
      <c r="AG12" s="82" t="n"/>
      <c r="AH12" s="82" t="n"/>
      <c r="AI12" s="82" t="n"/>
      <c r="AJ12" s="82" t="n"/>
      <c r="AK12" s="82" t="n"/>
      <c r="AL12" s="78" t="n"/>
      <c r="AM12" s="78" t="n"/>
      <c r="AN12" s="78" t="n"/>
      <c r="AO12" s="78" t="n"/>
      <c r="AP12" s="81" t="n"/>
      <c r="AQ12" s="77" t="n"/>
      <c r="AR12" s="78" t="n"/>
      <c r="AS12" s="78" t="n"/>
      <c r="AT12" s="78" t="n"/>
      <c r="AU12" s="78" t="n"/>
      <c r="AV12" s="83" t="n"/>
      <c r="AW12" s="83" t="n"/>
      <c r="AX12" s="83" t="n"/>
      <c r="AY12" s="83" t="n"/>
      <c r="AZ12" s="83" t="n"/>
      <c r="BA12" s="78" t="n"/>
      <c r="BB12" s="78" t="n"/>
      <c r="BC12" s="78" t="n"/>
      <c r="BD12" s="78" t="n"/>
      <c r="BE12" s="81" t="n"/>
      <c r="BF12" s="77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81" t="n"/>
      <c r="BU12" s="38" t="n"/>
      <c r="BV12" s="39" t="n"/>
    </row>
    <row r="13" ht="23.1" customHeight="1" s="240">
      <c r="B13" s="150" t="inlineStr">
        <is>
          <t>1.3</t>
        </is>
      </c>
      <c r="C13" t="inlineStr">
        <is>
          <t>Entrenar y validar el modelo ajustado con dataset existente.</t>
        </is>
      </c>
      <c r="D13" s="152" t="inlineStr">
        <is>
          <t>Yersson</t>
        </is>
      </c>
      <c r="E13" s="153" t="n">
        <v>4</v>
      </c>
      <c r="F13" s="154" t="n">
        <v>4</v>
      </c>
      <c r="G13" s="155">
        <f>E13-F13</f>
        <v/>
      </c>
      <c r="H13" s="156" t="n"/>
      <c r="I13" s="211" t="n"/>
      <c r="J13" s="211" t="n"/>
      <c r="K13" s="213" t="n"/>
      <c r="L13" s="201">
        <f>IFERROR(F13/E13,"")</f>
        <v/>
      </c>
      <c r="M13" s="77" t="n"/>
      <c r="N13" s="78" t="n"/>
      <c r="O13" s="78" t="n"/>
      <c r="P13" s="78" t="n"/>
      <c r="Q13" s="78" t="n"/>
      <c r="R13" s="80" t="n"/>
      <c r="S13" s="80" t="n"/>
      <c r="T13" s="79" t="n"/>
      <c r="U13" s="79" t="n"/>
      <c r="V13" s="79" t="n"/>
      <c r="W13" s="79" t="n"/>
      <c r="X13" s="79" t="n"/>
      <c r="Y13" s="79" t="n"/>
      <c r="Z13" s="79" t="n"/>
      <c r="AA13" s="81" t="n"/>
      <c r="AB13" s="77" t="n"/>
      <c r="AC13" s="78" t="n"/>
      <c r="AD13" s="78" t="n"/>
      <c r="AE13" s="78" t="n"/>
      <c r="AF13" s="78" t="n"/>
      <c r="AG13" s="82" t="n"/>
      <c r="AH13" s="82" t="n"/>
      <c r="AI13" s="82" t="n"/>
      <c r="AJ13" s="82" t="n"/>
      <c r="AK13" s="82" t="n"/>
      <c r="AL13" s="78" t="n"/>
      <c r="AM13" s="78" t="n"/>
      <c r="AN13" s="78" t="n"/>
      <c r="AO13" s="78" t="n"/>
      <c r="AP13" s="81" t="n"/>
      <c r="AQ13" s="77" t="n"/>
      <c r="AR13" s="78" t="n"/>
      <c r="AS13" s="78" t="n"/>
      <c r="AT13" s="78" t="n"/>
      <c r="AU13" s="78" t="n"/>
      <c r="AV13" s="83" t="n"/>
      <c r="AW13" s="83" t="n"/>
      <c r="AX13" s="83" t="n"/>
      <c r="AY13" s="83" t="n"/>
      <c r="AZ13" s="83" t="n"/>
      <c r="BA13" s="78" t="n"/>
      <c r="BB13" s="78" t="n"/>
      <c r="BC13" s="78" t="n"/>
      <c r="BD13" s="78" t="n"/>
      <c r="BE13" s="81" t="n"/>
      <c r="BF13" s="77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81" t="n"/>
      <c r="BU13" s="38" t="n"/>
      <c r="BV13" s="39" t="n"/>
    </row>
    <row r="14" ht="23.1" customHeight="1" s="240">
      <c r="B14" s="194" t="inlineStr">
        <is>
          <t>2</t>
        </is>
      </c>
      <c r="C14" s="195" t="inlineStr">
        <is>
          <t>HU-13: Métricas de Validación (8h)</t>
        </is>
      </c>
      <c r="D14" s="196" t="n"/>
      <c r="E14" s="197">
        <f>SUM(E15:E17)</f>
        <v/>
      </c>
      <c r="F14" s="198">
        <f>SUM(F15:F17)</f>
        <v/>
      </c>
      <c r="G14" s="199">
        <f>SUM(G15:G17)</f>
        <v/>
      </c>
      <c r="H14" s="200" t="n"/>
      <c r="I14" s="206" t="n">
        <v>46292</v>
      </c>
      <c r="J14" s="206" t="n">
        <v>46298</v>
      </c>
      <c r="K14" s="207">
        <f>J14-I14+1</f>
        <v/>
      </c>
      <c r="L14" s="201">
        <f>IFERROR(F14/E14,"")</f>
        <v/>
      </c>
      <c r="M14" s="73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5" t="n"/>
      <c r="AB14" s="73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5" t="n"/>
      <c r="AQ14" s="73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74" t="n"/>
      <c r="BA14" s="74" t="n"/>
      <c r="BB14" s="74" t="n"/>
      <c r="BC14" s="74" t="n"/>
      <c r="BD14" s="74" t="n"/>
      <c r="BE14" s="75" t="n"/>
      <c r="BF14" s="73" t="n"/>
      <c r="BG14" s="74" t="n"/>
      <c r="BH14" s="74" t="n"/>
      <c r="BI14" s="74" t="n"/>
      <c r="BJ14" s="74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81" t="n"/>
      <c r="BU14" s="38" t="n"/>
      <c r="BV14" s="39" t="n"/>
    </row>
    <row r="15" ht="23.1" customHeight="1" s="240">
      <c r="B15" s="150" t="n">
        <v>2.1</v>
      </c>
      <c r="C15" t="inlineStr">
        <is>
          <t>Implementar cálculo de precisión, recall y F1-score.</t>
        </is>
      </c>
      <c r="D15" s="152" t="inlineStr">
        <is>
          <t>Yersson</t>
        </is>
      </c>
      <c r="E15" s="153" t="n">
        <v>1</v>
      </c>
      <c r="F15" s="154" t="n">
        <v>1</v>
      </c>
      <c r="G15" s="155">
        <f>E15-F15</f>
        <v/>
      </c>
      <c r="H15" s="156" t="n"/>
      <c r="I15" s="187" t="n"/>
      <c r="J15" s="187" t="n"/>
      <c r="K15" s="213" t="n"/>
      <c r="L15" s="201">
        <f>IFERROR(F15/E15,"")</f>
        <v/>
      </c>
      <c r="M15" s="77" t="n"/>
      <c r="N15" s="78" t="n"/>
      <c r="O15" s="78" t="n"/>
      <c r="P15" s="78" t="n"/>
      <c r="Q15" s="78" t="n"/>
      <c r="R15" s="80" t="n"/>
      <c r="S15" s="80" t="n"/>
      <c r="T15" s="80" t="n"/>
      <c r="U15" s="80" t="n"/>
      <c r="V15" s="80" t="n"/>
      <c r="W15" s="78" t="n"/>
      <c r="X15" s="78" t="n"/>
      <c r="Y15" s="78" t="n"/>
      <c r="Z15" s="78" t="n"/>
      <c r="AA15" s="81" t="n"/>
      <c r="AB15" s="84" t="n"/>
      <c r="AC15" s="85" t="n"/>
      <c r="AD15" s="85" t="n"/>
      <c r="AE15" s="85" t="n"/>
      <c r="AF15" s="85" t="n"/>
      <c r="AG15" s="82" t="n"/>
      <c r="AH15" s="82" t="n"/>
      <c r="AI15" s="82" t="n"/>
      <c r="AJ15" s="82" t="n"/>
      <c r="AK15" s="82" t="n"/>
      <c r="AL15" s="78" t="n"/>
      <c r="AM15" s="78" t="n"/>
      <c r="AN15" s="78" t="n"/>
      <c r="AO15" s="78" t="n"/>
      <c r="AP15" s="81" t="n"/>
      <c r="AQ15" s="77" t="n"/>
      <c r="AR15" s="78" t="n"/>
      <c r="AS15" s="78" t="n"/>
      <c r="AT15" s="78" t="n"/>
      <c r="AU15" s="78" t="n"/>
      <c r="AV15" s="83" t="n"/>
      <c r="AW15" s="83" t="n"/>
      <c r="AX15" s="83" t="n"/>
      <c r="AY15" s="83" t="n"/>
      <c r="AZ15" s="83" t="n"/>
      <c r="BA15" s="78" t="n"/>
      <c r="BB15" s="78" t="n"/>
      <c r="BC15" s="78" t="n"/>
      <c r="BD15" s="78" t="n"/>
      <c r="BE15" s="81" t="n"/>
      <c r="BF15" s="77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81" t="n"/>
      <c r="BU15" s="38" t="n"/>
      <c r="BV15" s="39" t="n"/>
    </row>
    <row r="16" ht="23.1" customHeight="1" s="240">
      <c r="B16" s="150" t="n">
        <v>2.2</v>
      </c>
      <c r="C16" t="inlineStr">
        <is>
          <t>Generar matriz de confusión con dataset de prueba.</t>
        </is>
      </c>
      <c r="D16" s="152" t="inlineStr">
        <is>
          <t>Yersson</t>
        </is>
      </c>
      <c r="E16" s="153" t="n">
        <v>1</v>
      </c>
      <c r="F16" s="154" t="n">
        <v>1</v>
      </c>
      <c r="G16" s="155">
        <f>E16-F16</f>
        <v/>
      </c>
      <c r="H16" s="156" t="n"/>
      <c r="I16" s="187" t="n"/>
      <c r="J16" s="187" t="n"/>
      <c r="K16" s="213" t="n"/>
      <c r="L16" s="201">
        <f>IFERROR(F16/E16,"")</f>
        <v/>
      </c>
      <c r="M16" s="77" t="n"/>
      <c r="N16" s="78" t="n"/>
      <c r="O16" s="78" t="n"/>
      <c r="P16" s="78" t="n"/>
      <c r="Q16" s="78" t="n"/>
      <c r="R16" s="80" t="n"/>
      <c r="S16" s="80" t="n"/>
      <c r="T16" s="80" t="n"/>
      <c r="U16" s="80" t="n"/>
      <c r="V16" s="80" t="n"/>
      <c r="W16" s="78" t="n"/>
      <c r="X16" s="78" t="n"/>
      <c r="Y16" s="78" t="n"/>
      <c r="Z16" s="78" t="n"/>
      <c r="AA16" s="81" t="n"/>
      <c r="AB16" s="77" t="n"/>
      <c r="AC16" s="78" t="n"/>
      <c r="AD16" s="78" t="n"/>
      <c r="AE16" s="78" t="n"/>
      <c r="AF16" s="78" t="n"/>
      <c r="AG16" s="85" t="n"/>
      <c r="AH16" s="85" t="n"/>
      <c r="AI16" s="85" t="n"/>
      <c r="AJ16" s="85" t="n"/>
      <c r="AK16" s="85" t="n"/>
      <c r="AL16" s="78" t="n"/>
      <c r="AM16" s="78" t="n"/>
      <c r="AN16" s="78" t="n"/>
      <c r="AO16" s="78" t="n"/>
      <c r="AP16" s="81" t="n"/>
      <c r="AQ16" s="77" t="n"/>
      <c r="AR16" s="78" t="n"/>
      <c r="AS16" s="78" t="n"/>
      <c r="AT16" s="78" t="n"/>
      <c r="AU16" s="78" t="n"/>
      <c r="AV16" s="83" t="n"/>
      <c r="AW16" s="83" t="n"/>
      <c r="AX16" s="83" t="n"/>
      <c r="AY16" s="83" t="n"/>
      <c r="AZ16" s="83" t="n"/>
      <c r="BA16" s="78" t="n"/>
      <c r="BB16" s="78" t="n"/>
      <c r="BC16" s="78" t="n"/>
      <c r="BD16" s="78" t="n"/>
      <c r="BE16" s="81" t="n"/>
      <c r="BF16" s="77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81" t="n"/>
      <c r="BU16" s="38" t="n"/>
      <c r="BV16" s="39" t="n"/>
    </row>
    <row r="17" ht="23.1" customHeight="1" s="240">
      <c r="B17" s="150" t="n">
        <v>2.3</v>
      </c>
      <c r="C17" t="inlineStr">
        <is>
          <t>Documentar resultados de validación en reporte técnico.</t>
        </is>
      </c>
      <c r="D17" s="152" t="inlineStr">
        <is>
          <t>Yersson</t>
        </is>
      </c>
      <c r="E17" s="153" t="n">
        <v>6</v>
      </c>
      <c r="F17" s="154" t="n">
        <v>6</v>
      </c>
      <c r="G17" s="155">
        <f>E17-F17</f>
        <v/>
      </c>
      <c r="H17" s="156" t="n"/>
      <c r="I17" s="187" t="n"/>
      <c r="J17" s="187" t="n"/>
      <c r="K17" s="213" t="n"/>
      <c r="L17" s="201">
        <f>IFERROR(F17/E17,"")</f>
        <v/>
      </c>
      <c r="M17" s="77" t="n"/>
      <c r="N17" s="78" t="n"/>
      <c r="O17" s="78" t="n"/>
      <c r="P17" s="78" t="n"/>
      <c r="Q17" s="78" t="n"/>
      <c r="R17" s="80" t="n"/>
      <c r="S17" s="80" t="n"/>
      <c r="T17" s="80" t="n"/>
      <c r="U17" s="80" t="n"/>
      <c r="V17" s="80" t="n"/>
      <c r="W17" s="78" t="n"/>
      <c r="X17" s="78" t="n"/>
      <c r="Y17" s="78" t="n"/>
      <c r="Z17" s="78" t="n"/>
      <c r="AA17" s="81" t="n"/>
      <c r="AB17" s="77" t="n"/>
      <c r="AC17" s="78" t="n"/>
      <c r="AD17" s="78" t="n"/>
      <c r="AE17" s="78" t="n"/>
      <c r="AF17" s="78" t="n"/>
      <c r="AG17" s="82" t="n"/>
      <c r="AH17" s="82" t="n"/>
      <c r="AI17" s="82" t="n"/>
      <c r="AJ17" s="82" t="n"/>
      <c r="AK17" s="82" t="n"/>
      <c r="AL17" s="78" t="n"/>
      <c r="AM17" s="78" t="n"/>
      <c r="AN17" s="78" t="n"/>
      <c r="AO17" s="78" t="n"/>
      <c r="AP17" s="81" t="n"/>
      <c r="AQ17" s="77" t="n"/>
      <c r="AR17" s="78" t="n"/>
      <c r="AS17" s="78" t="n"/>
      <c r="AT17" s="78" t="n"/>
      <c r="AU17" s="78" t="n"/>
      <c r="AV17" s="83" t="n"/>
      <c r="AW17" s="83" t="n"/>
      <c r="AX17" s="83" t="n"/>
      <c r="AY17" s="83" t="n"/>
      <c r="AZ17" s="83" t="n"/>
      <c r="BA17" s="78" t="n"/>
      <c r="BB17" s="78" t="n"/>
      <c r="BC17" s="78" t="n"/>
      <c r="BD17" s="78" t="n"/>
      <c r="BE17" s="81" t="n"/>
      <c r="BF17" s="77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81" t="n"/>
      <c r="BU17" s="38" t="n"/>
      <c r="BV17" s="39" t="n"/>
    </row>
    <row r="18" ht="23.1" customHeight="1" s="240">
      <c r="B18" s="194" t="n">
        <v>3</v>
      </c>
      <c r="C18" s="195" t="inlineStr">
        <is>
          <t>HU-23: Visualización de Métricas (8h)</t>
        </is>
      </c>
      <c r="D18" s="196" t="n"/>
      <c r="E18" s="197">
        <f>SUM(E19:E21)</f>
        <v/>
      </c>
      <c r="F18" s="198">
        <f>SUM(F19:F21)</f>
        <v/>
      </c>
      <c r="G18" s="199">
        <f>SUM(G19:G21)</f>
        <v/>
      </c>
      <c r="H18" s="200" t="n"/>
      <c r="I18" s="206" t="n">
        <v>46292</v>
      </c>
      <c r="J18" s="206" t="n">
        <v>46298</v>
      </c>
      <c r="K18" s="207">
        <f>J18-I18+1</f>
        <v/>
      </c>
      <c r="L18" s="201">
        <f>IFERROR(F18/E18,"")</f>
        <v/>
      </c>
      <c r="M18" s="73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5" t="n"/>
      <c r="AB18" s="73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5" t="n"/>
      <c r="AQ18" s="73" t="n"/>
      <c r="AR18" s="74" t="n"/>
      <c r="AS18" s="74" t="n"/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/>
      <c r="BD18" s="74" t="n"/>
      <c r="BE18" s="75" t="n"/>
      <c r="BF18" s="73" t="n"/>
      <c r="BG18" s="74" t="n"/>
      <c r="BH18" s="74" t="n"/>
      <c r="BI18" s="74" t="n"/>
      <c r="BJ18" s="74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81" t="n"/>
      <c r="BU18" s="38" t="n"/>
      <c r="BV18" s="39" t="n"/>
    </row>
    <row r="19" ht="23.1" customHeight="1" s="240">
      <c r="B19" s="150" t="n">
        <v>3.1</v>
      </c>
      <c r="C19" t="inlineStr">
        <is>
          <t>Crear gráficos de matriz de confusión y curva ROC.</t>
        </is>
      </c>
      <c r="D19" s="152" t="inlineStr">
        <is>
          <t>Alejandro</t>
        </is>
      </c>
      <c r="E19" s="153" t="n">
        <v>2</v>
      </c>
      <c r="F19" s="154" t="n">
        <v>2</v>
      </c>
      <c r="G19" s="155">
        <f>E19-F19</f>
        <v/>
      </c>
      <c r="H19" s="156" t="n"/>
      <c r="I19" s="157" t="n"/>
      <c r="J19" s="158" t="n"/>
      <c r="K19" s="213" t="n"/>
      <c r="L19" s="201">
        <f>IFERROR(F19/E19,"")</f>
        <v/>
      </c>
      <c r="M19" s="77" t="n"/>
      <c r="N19" s="78" t="n"/>
      <c r="O19" s="78" t="n"/>
      <c r="P19" s="78" t="n"/>
      <c r="Q19" s="78" t="n"/>
      <c r="R19" s="80" t="n"/>
      <c r="S19" s="80" t="n"/>
      <c r="T19" s="80" t="n"/>
      <c r="U19" s="80" t="n"/>
      <c r="V19" s="80" t="n"/>
      <c r="W19" s="78" t="n"/>
      <c r="X19" s="78" t="n"/>
      <c r="Y19" s="78" t="n"/>
      <c r="Z19" s="78" t="n"/>
      <c r="AA19" s="81" t="n"/>
      <c r="AB19" s="77" t="n"/>
      <c r="AC19" s="78" t="n"/>
      <c r="AD19" s="78" t="n"/>
      <c r="AE19" s="78" t="n"/>
      <c r="AF19" s="78" t="n"/>
      <c r="AG19" s="82" t="n"/>
      <c r="AH19" s="82" t="n"/>
      <c r="AI19" s="82" t="n"/>
      <c r="AJ19" s="82" t="n"/>
      <c r="AK19" s="82" t="n"/>
      <c r="AL19" s="78" t="n"/>
      <c r="AM19" s="78" t="n"/>
      <c r="AN19" s="78" t="n"/>
      <c r="AO19" s="78" t="n"/>
      <c r="AP19" s="81" t="n"/>
      <c r="AQ19" s="77" t="n"/>
      <c r="AR19" s="78" t="n"/>
      <c r="AS19" s="78" t="n"/>
      <c r="AT19" s="78" t="n"/>
      <c r="AU19" s="78" t="n"/>
      <c r="AV19" s="83" t="n"/>
      <c r="AW19" s="83" t="n"/>
      <c r="AX19" s="83" t="n"/>
      <c r="AY19" s="83" t="n"/>
      <c r="AZ19" s="83" t="n"/>
      <c r="BA19" s="78" t="n"/>
      <c r="BB19" s="78" t="n"/>
      <c r="BC19" s="78" t="n"/>
      <c r="BD19" s="78" t="n"/>
      <c r="BE19" s="81" t="n"/>
      <c r="BF19" s="77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81" t="n"/>
      <c r="BU19" s="38" t="n"/>
      <c r="BV19" s="39" t="n"/>
    </row>
    <row r="20" ht="23.1" customHeight="1" s="240">
      <c r="B20" s="150" t="n">
        <v>3.2</v>
      </c>
      <c r="C20" t="inlineStr">
        <is>
          <t>Generar gráfica de precisión y pérdida por época.</t>
        </is>
      </c>
      <c r="D20" s="152" t="inlineStr">
        <is>
          <t>Alejandro</t>
        </is>
      </c>
      <c r="E20" s="153" t="n">
        <v>2</v>
      </c>
      <c r="F20" s="154" t="n">
        <v>2</v>
      </c>
      <c r="G20" s="155">
        <f>E20-F20</f>
        <v/>
      </c>
      <c r="H20" s="156" t="n"/>
      <c r="I20" s="157" t="n"/>
      <c r="J20" s="158" t="n"/>
      <c r="K20" s="213" t="n"/>
      <c r="L20" s="201">
        <f>IFERROR(F20/E20,"")</f>
        <v/>
      </c>
      <c r="M20" s="77" t="n"/>
      <c r="N20" s="78" t="n"/>
      <c r="O20" s="78" t="n"/>
      <c r="P20" s="78" t="n"/>
      <c r="Q20" s="78" t="n"/>
      <c r="R20" s="80" t="n"/>
      <c r="S20" s="80" t="n"/>
      <c r="T20" s="80" t="n"/>
      <c r="U20" s="80" t="n"/>
      <c r="V20" s="80" t="n"/>
      <c r="W20" s="78" t="n"/>
      <c r="X20" s="78" t="n"/>
      <c r="Y20" s="78" t="n"/>
      <c r="Z20" s="78" t="n"/>
      <c r="AA20" s="81" t="n"/>
      <c r="AB20" s="77" t="n"/>
      <c r="AC20" s="78" t="n"/>
      <c r="AD20" s="78" t="n"/>
      <c r="AE20" s="78" t="n"/>
      <c r="AF20" s="78" t="n"/>
      <c r="AG20" s="82" t="n"/>
      <c r="AH20" s="82" t="n"/>
      <c r="AI20" s="82" t="n"/>
      <c r="AJ20" s="82" t="n"/>
      <c r="AK20" s="82" t="n"/>
      <c r="AL20" s="78" t="n"/>
      <c r="AM20" s="78" t="n"/>
      <c r="AN20" s="78" t="n"/>
      <c r="AO20" s="78" t="n"/>
      <c r="AP20" s="81" t="n"/>
      <c r="AQ20" s="77" t="n"/>
      <c r="AR20" s="78" t="n"/>
      <c r="AS20" s="78" t="n"/>
      <c r="AT20" s="78" t="n"/>
      <c r="AU20" s="78" t="n"/>
      <c r="AV20" s="83" t="n"/>
      <c r="AW20" s="83" t="n"/>
      <c r="AX20" s="83" t="n"/>
      <c r="AY20" s="83" t="n"/>
      <c r="AZ20" s="83" t="n"/>
      <c r="BA20" s="78" t="n"/>
      <c r="BB20" s="78" t="n"/>
      <c r="BC20" s="78" t="n"/>
      <c r="BD20" s="78" t="n"/>
      <c r="BE20" s="81" t="n"/>
      <c r="BF20" s="77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81" t="n"/>
      <c r="BU20" s="38" t="n"/>
      <c r="BV20" s="39" t="n"/>
    </row>
    <row r="21" ht="23.1" customHeight="1" s="240">
      <c r="B21" s="150" t="inlineStr">
        <is>
          <t>3.3</t>
        </is>
      </c>
      <c r="C21" t="inlineStr">
        <is>
          <t>Integrar visualizaciones en reporte web/Notebook.</t>
        </is>
      </c>
      <c r="D21" s="152" t="inlineStr">
        <is>
          <t>Alejandro</t>
        </is>
      </c>
      <c r="E21" s="153" t="n">
        <v>4</v>
      </c>
      <c r="F21" s="154" t="n">
        <v>4</v>
      </c>
      <c r="G21" s="155">
        <f>E21-F21</f>
        <v/>
      </c>
      <c r="H21" s="163" t="n"/>
      <c r="I21" s="157" t="n"/>
      <c r="J21" s="158" t="n"/>
      <c r="K21" s="213" t="n"/>
      <c r="L21" s="201">
        <f>IFERROR(F21/E21,"")</f>
        <v/>
      </c>
      <c r="M21" s="77" t="n"/>
      <c r="N21" s="78" t="n"/>
      <c r="O21" s="78" t="n"/>
      <c r="P21" s="78" t="n"/>
      <c r="Q21" s="78" t="n"/>
      <c r="R21" s="80" t="n"/>
      <c r="S21" s="80" t="n"/>
      <c r="T21" s="80" t="n"/>
      <c r="U21" s="80" t="n"/>
      <c r="V21" s="80" t="n"/>
      <c r="W21" s="78" t="n"/>
      <c r="X21" s="78" t="n"/>
      <c r="Y21" s="78" t="n"/>
      <c r="Z21" s="78" t="n"/>
      <c r="AA21" s="81" t="n"/>
      <c r="AB21" s="77" t="n"/>
      <c r="AC21" s="78" t="n"/>
      <c r="AD21" s="78" t="n"/>
      <c r="AE21" s="78" t="n"/>
      <c r="AF21" s="78" t="n"/>
      <c r="AG21" s="82" t="n"/>
      <c r="AH21" s="82" t="n"/>
      <c r="AI21" s="82" t="n"/>
      <c r="AJ21" s="82" t="n"/>
      <c r="AK21" s="82" t="n"/>
      <c r="AL21" s="78" t="n"/>
      <c r="AM21" s="78" t="n"/>
      <c r="AN21" s="78" t="n"/>
      <c r="AO21" s="78" t="n"/>
      <c r="AP21" s="81" t="n"/>
      <c r="AQ21" s="77" t="n"/>
      <c r="AR21" s="78" t="n"/>
      <c r="AS21" s="78" t="n"/>
      <c r="AT21" s="78" t="n"/>
      <c r="AU21" s="78" t="n"/>
      <c r="AV21" s="83" t="n"/>
      <c r="AW21" s="83" t="n"/>
      <c r="AX21" s="83" t="n"/>
      <c r="AY21" s="83" t="n"/>
      <c r="AZ21" s="83" t="n"/>
      <c r="BA21" s="78" t="n"/>
      <c r="BB21" s="78" t="n"/>
      <c r="BC21" s="78" t="n"/>
      <c r="BD21" s="78" t="n"/>
      <c r="BE21" s="81" t="n"/>
      <c r="BF21" s="77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81" t="n"/>
      <c r="BU21" s="38" t="n"/>
      <c r="BV21" s="39" t="n"/>
    </row>
    <row r="22" ht="23.1" customHeight="1" s="240">
      <c r="B22" s="194" t="inlineStr">
        <is>
          <t>4</t>
        </is>
      </c>
      <c r="C22" s="195" t="inlineStr">
        <is>
          <t>HU-25: Optimización para Web (12h)</t>
        </is>
      </c>
      <c r="D22" s="196" t="n"/>
      <c r="E22" s="197">
        <f>SUM(E23:E25)</f>
        <v/>
      </c>
      <c r="F22" s="198">
        <f>SUM(F23:F25)</f>
        <v/>
      </c>
      <c r="G22" s="199">
        <f>SUM(G23:G25)</f>
        <v/>
      </c>
      <c r="H22" s="200" t="n"/>
      <c r="I22" s="206" t="n">
        <v>46292</v>
      </c>
      <c r="J22" s="206" t="n">
        <v>46298</v>
      </c>
      <c r="K22" s="207">
        <f>J22-I22+1</f>
        <v/>
      </c>
      <c r="L22" s="201">
        <f>IFERROR(F22/E22,"")</f>
        <v/>
      </c>
      <c r="M22" s="73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5" t="n"/>
      <c r="AB22" s="73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5" t="n"/>
      <c r="AQ22" s="73" t="n"/>
      <c r="AR22" s="74" t="n"/>
      <c r="AS22" s="74" t="n"/>
      <c r="AT22" s="74" t="n"/>
      <c r="AU22" s="74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74" t="n"/>
      <c r="BE22" s="75" t="n"/>
      <c r="BF22" s="73" t="n"/>
      <c r="BG22" s="74" t="n"/>
      <c r="BH22" s="74" t="n"/>
      <c r="BI22" s="74" t="n"/>
      <c r="BJ22" s="74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81" t="n"/>
      <c r="BU22" s="38" t="n"/>
      <c r="BV22" s="39" t="n"/>
    </row>
    <row r="23" ht="23.1" customHeight="1" s="240">
      <c r="B23" s="150" t="inlineStr">
        <is>
          <t>4.1</t>
        </is>
      </c>
      <c r="C23" t="inlineStr">
        <is>
          <t>Reducir tamaño del modelo usando técnicas de compresión/poda.</t>
        </is>
      </c>
      <c r="D23" s="152" t="inlineStr">
        <is>
          <t>Alejandro</t>
        </is>
      </c>
      <c r="E23" s="153" t="n">
        <v>3</v>
      </c>
      <c r="F23" s="154" t="n">
        <v>3</v>
      </c>
      <c r="G23" s="155">
        <f>E23-F23</f>
        <v/>
      </c>
      <c r="H23" s="156" t="n"/>
      <c r="I23" s="157" t="n"/>
      <c r="J23" s="158" t="n"/>
      <c r="K23" s="213" t="n"/>
      <c r="L23" s="201">
        <f>IFERROR(F23/E23,"")</f>
        <v/>
      </c>
      <c r="M23" s="77" t="n"/>
      <c r="N23" s="78" t="n"/>
      <c r="O23" s="78" t="n"/>
      <c r="P23" s="78" t="n"/>
      <c r="Q23" s="78" t="n"/>
      <c r="R23" s="80" t="n"/>
      <c r="S23" s="80" t="n"/>
      <c r="T23" s="80" t="n"/>
      <c r="U23" s="80" t="n"/>
      <c r="V23" s="80" t="n"/>
      <c r="W23" s="78" t="n"/>
      <c r="X23" s="78" t="n"/>
      <c r="Y23" s="78" t="n"/>
      <c r="Z23" s="78" t="n"/>
      <c r="AA23" s="81" t="n"/>
      <c r="AB23" s="77" t="n"/>
      <c r="AC23" s="78" t="n"/>
      <c r="AD23" s="78" t="n"/>
      <c r="AE23" s="78" t="n"/>
      <c r="AF23" s="78" t="n"/>
      <c r="AG23" s="82" t="n"/>
      <c r="AH23" s="82" t="n"/>
      <c r="AI23" s="82" t="n"/>
      <c r="AJ23" s="82" t="n"/>
      <c r="AK23" s="82" t="n"/>
      <c r="AL23" s="78" t="n"/>
      <c r="AM23" s="78" t="n"/>
      <c r="AN23" s="78" t="n"/>
      <c r="AO23" s="78" t="n"/>
      <c r="AP23" s="81" t="n"/>
      <c r="AQ23" s="77" t="n"/>
      <c r="AR23" s="78" t="n"/>
      <c r="AS23" s="78" t="n"/>
      <c r="AT23" s="78" t="n"/>
      <c r="AU23" s="78" t="n"/>
      <c r="AV23" s="83" t="n"/>
      <c r="AW23" s="83" t="n"/>
      <c r="AX23" s="83" t="n"/>
      <c r="AY23" s="83" t="n"/>
      <c r="AZ23" s="83" t="n"/>
      <c r="BA23" s="78" t="n"/>
      <c r="BB23" s="78" t="n"/>
      <c r="BC23" s="78" t="n"/>
      <c r="BD23" s="78" t="n"/>
      <c r="BE23" s="81" t="n"/>
      <c r="BF23" s="77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81" t="n"/>
      <c r="BU23" s="38" t="n"/>
      <c r="BV23" s="39" t="n"/>
    </row>
    <row r="24" ht="23.1" customHeight="1" s="240">
      <c r="B24" s="150" t="inlineStr">
        <is>
          <t>4.2</t>
        </is>
      </c>
      <c r="C24" t="inlineStr">
        <is>
          <t>Exportar modelo optimizado a formato compatible (TorchScript/ONNX).</t>
        </is>
      </c>
      <c r="D24" s="152" t="inlineStr">
        <is>
          <t>Alejandro</t>
        </is>
      </c>
      <c r="E24" s="153" t="n">
        <v>3</v>
      </c>
      <c r="F24" s="154" t="n">
        <v>3</v>
      </c>
      <c r="G24" s="155">
        <f>E24-F24</f>
        <v/>
      </c>
      <c r="H24" s="156" t="n"/>
      <c r="I24" s="157" t="n"/>
      <c r="J24" s="158" t="n"/>
      <c r="K24" s="213" t="n"/>
      <c r="L24" s="201">
        <f>IFERROR(F24/E24,"")</f>
        <v/>
      </c>
      <c r="M24" s="77" t="n"/>
      <c r="N24" s="78" t="n"/>
      <c r="O24" s="78" t="n"/>
      <c r="P24" s="78" t="n"/>
      <c r="Q24" s="78" t="n"/>
      <c r="R24" s="80" t="n"/>
      <c r="S24" s="80" t="n"/>
      <c r="T24" s="80" t="n"/>
      <c r="U24" s="80" t="n"/>
      <c r="V24" s="80" t="n"/>
      <c r="W24" s="78" t="n"/>
      <c r="X24" s="78" t="n"/>
      <c r="Y24" s="78" t="n"/>
      <c r="Z24" s="78" t="n"/>
      <c r="AA24" s="81" t="n"/>
      <c r="AB24" s="77" t="n"/>
      <c r="AC24" s="78" t="n"/>
      <c r="AD24" s="78" t="n"/>
      <c r="AE24" s="78" t="n"/>
      <c r="AF24" s="78" t="n"/>
      <c r="AG24" s="82" t="n"/>
      <c r="AH24" s="82" t="n"/>
      <c r="AI24" s="82" t="n"/>
      <c r="AJ24" s="82" t="n"/>
      <c r="AK24" s="82" t="n"/>
      <c r="AL24" s="78" t="n"/>
      <c r="AM24" s="78" t="n"/>
      <c r="AN24" s="78" t="n"/>
      <c r="AO24" s="78" t="n"/>
      <c r="AP24" s="81" t="n"/>
      <c r="AQ24" s="77" t="n"/>
      <c r="AR24" s="78" t="n"/>
      <c r="AS24" s="78" t="n"/>
      <c r="AT24" s="78" t="n"/>
      <c r="AU24" s="78" t="n"/>
      <c r="AV24" s="83" t="n"/>
      <c r="AW24" s="83" t="n"/>
      <c r="AX24" s="83" t="n"/>
      <c r="AY24" s="83" t="n"/>
      <c r="AZ24" s="83" t="n"/>
      <c r="BA24" s="78" t="n"/>
      <c r="BB24" s="78" t="n"/>
      <c r="BC24" s="78" t="n"/>
      <c r="BD24" s="78" t="n"/>
      <c r="BE24" s="81" t="n"/>
      <c r="BF24" s="77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81" t="n"/>
      <c r="BU24" s="38" t="n"/>
      <c r="BV24" s="39" t="n"/>
    </row>
    <row r="25" ht="23.1" customHeight="1" s="240">
      <c r="B25" s="150" t="inlineStr">
        <is>
          <t>4.3</t>
        </is>
      </c>
      <c r="C25" t="inlineStr">
        <is>
          <t>Probar tiempos de inferencia en entorno web.</t>
        </is>
      </c>
      <c r="D25" s="152" t="inlineStr">
        <is>
          <t>Alejandro</t>
        </is>
      </c>
      <c r="E25" s="153" t="n">
        <v>6</v>
      </c>
      <c r="F25" s="154" t="n">
        <v>6</v>
      </c>
      <c r="G25" s="155">
        <f>E25-F25</f>
        <v/>
      </c>
      <c r="H25" s="156" t="n"/>
      <c r="I25" s="157" t="n"/>
      <c r="J25" s="158" t="n"/>
      <c r="K25" s="213" t="n"/>
      <c r="L25" s="201">
        <f>IFERROR(F25/E25,"")</f>
        <v/>
      </c>
      <c r="M25" s="77" t="n"/>
      <c r="N25" s="78" t="n"/>
      <c r="O25" s="78" t="n"/>
      <c r="P25" s="78" t="n"/>
      <c r="Q25" s="78" t="n"/>
      <c r="R25" s="80" t="n"/>
      <c r="S25" s="80" t="n"/>
      <c r="T25" s="80" t="n"/>
      <c r="U25" s="80" t="n"/>
      <c r="V25" s="80" t="n"/>
      <c r="W25" s="78" t="n"/>
      <c r="X25" s="78" t="n"/>
      <c r="Y25" s="78" t="n"/>
      <c r="Z25" s="78" t="n"/>
      <c r="AA25" s="81" t="n"/>
      <c r="AB25" s="77" t="n"/>
      <c r="AC25" s="78" t="n"/>
      <c r="AD25" s="78" t="n"/>
      <c r="AE25" s="78" t="n"/>
      <c r="AF25" s="78" t="n"/>
      <c r="AG25" s="82" t="n"/>
      <c r="AH25" s="82" t="n"/>
      <c r="AI25" s="82" t="n"/>
      <c r="AJ25" s="82" t="n"/>
      <c r="AK25" s="82" t="n"/>
      <c r="AL25" s="78" t="n"/>
      <c r="AM25" s="78" t="n"/>
      <c r="AN25" s="78" t="n"/>
      <c r="AO25" s="78" t="n"/>
      <c r="AP25" s="81" t="n"/>
      <c r="AQ25" s="77" t="n"/>
      <c r="AR25" s="78" t="n"/>
      <c r="AS25" s="78" t="n"/>
      <c r="AT25" s="78" t="n"/>
      <c r="AU25" s="78" t="n"/>
      <c r="AV25" s="83" t="n"/>
      <c r="AW25" s="83" t="n"/>
      <c r="AX25" s="83" t="n"/>
      <c r="AY25" s="83" t="n"/>
      <c r="AZ25" s="83" t="n"/>
      <c r="BA25" s="78" t="n"/>
      <c r="BB25" s="78" t="n"/>
      <c r="BC25" s="78" t="n"/>
      <c r="BD25" s="78" t="n"/>
      <c r="BE25" s="81" t="n"/>
      <c r="BF25" s="77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81" t="n"/>
      <c r="BU25" s="38" t="n"/>
      <c r="BV25" s="39" t="n"/>
    </row>
    <row r="26" ht="23.1" customHeight="1" s="240">
      <c r="B26" s="194" t="inlineStr">
        <is>
          <t>5</t>
        </is>
      </c>
      <c r="C26" s="195" t="inlineStr">
        <is>
          <t>HU-27: Validación con Dataset Externo (8h)</t>
        </is>
      </c>
      <c r="D26" s="196" t="n"/>
      <c r="E26" s="197">
        <f>SUM(E27:E29)</f>
        <v/>
      </c>
      <c r="F26" s="198">
        <f>SUM(F27:F29)</f>
        <v/>
      </c>
      <c r="G26" s="199">
        <f>SUM(G27:G29)</f>
        <v/>
      </c>
      <c r="H26" s="200" t="n"/>
      <c r="I26" s="206" t="n">
        <v>46292</v>
      </c>
      <c r="J26" s="206" t="n">
        <v>46298</v>
      </c>
      <c r="K26" s="207">
        <f>J26-I26+1</f>
        <v/>
      </c>
      <c r="L26" s="201">
        <f>IFERROR(F26/E26,"")</f>
        <v/>
      </c>
      <c r="M26" s="73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5" t="n"/>
      <c r="AB26" s="73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5" t="n"/>
      <c r="AQ26" s="73" t="n"/>
      <c r="AR26" s="74" t="n"/>
      <c r="AS26" s="74" t="n"/>
      <c r="AT26" s="74" t="n"/>
      <c r="AU26" s="74" t="n"/>
      <c r="AV26" s="74" t="n"/>
      <c r="AW26" s="74" t="n"/>
      <c r="AX26" s="74" t="n"/>
      <c r="AY26" s="74" t="n"/>
      <c r="AZ26" s="74" t="n"/>
      <c r="BA26" s="74" t="n"/>
      <c r="BB26" s="74" t="n"/>
      <c r="BC26" s="74" t="n"/>
      <c r="BD26" s="74" t="n"/>
      <c r="BE26" s="75" t="n"/>
      <c r="BF26" s="73" t="n"/>
      <c r="BG26" s="74" t="n"/>
      <c r="BH26" s="74" t="n"/>
      <c r="BI26" s="74" t="n"/>
      <c r="BJ26" s="74" t="n"/>
      <c r="BK26" s="191" t="n"/>
      <c r="BL26" s="191" t="n"/>
      <c r="BM26" s="191" t="n"/>
      <c r="BN26" s="191" t="n"/>
      <c r="BO26" s="191" t="n"/>
      <c r="BP26" s="191" t="n"/>
      <c r="BQ26" s="191" t="n"/>
      <c r="BR26" s="191" t="n"/>
      <c r="BS26" s="191" t="n"/>
      <c r="BT26" s="192" t="n"/>
      <c r="BU26" s="38" t="n"/>
      <c r="BV26" s="39" t="n"/>
    </row>
    <row r="27" ht="23.1" customHeight="1" s="240">
      <c r="B27" s="150" t="inlineStr">
        <is>
          <t>5.1</t>
        </is>
      </c>
      <c r="C27" t="inlineStr">
        <is>
          <t>Cargar y preparar dataset externo independiente.</t>
        </is>
      </c>
      <c r="D27" s="152" t="inlineStr">
        <is>
          <t>Andree</t>
        </is>
      </c>
      <c r="E27" s="153" t="n">
        <v>3</v>
      </c>
      <c r="F27" s="154" t="n">
        <v>3</v>
      </c>
      <c r="G27" s="155">
        <f>E27-F27</f>
        <v/>
      </c>
      <c r="H27" s="212" t="n"/>
      <c r="I27" s="157" t="n"/>
      <c r="J27" s="158" t="n"/>
      <c r="K27" s="213" t="n"/>
      <c r="L27" s="201">
        <f>IFERROR(F27/E27,"")</f>
        <v/>
      </c>
      <c r="M27" s="73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5" t="n"/>
      <c r="AB27" s="73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5" t="n"/>
      <c r="AQ27" s="73" t="n"/>
      <c r="AR27" s="74" t="n"/>
      <c r="AS27" s="74" t="n"/>
      <c r="AT27" s="74" t="n"/>
      <c r="AU27" s="74" t="n"/>
      <c r="AV27" s="74" t="n"/>
      <c r="AW27" s="74" t="n"/>
      <c r="AX27" s="74" t="n"/>
      <c r="AY27" s="74" t="n"/>
      <c r="AZ27" s="74" t="n"/>
      <c r="BA27" s="74" t="n"/>
      <c r="BB27" s="74" t="n"/>
      <c r="BC27" s="74" t="n"/>
      <c r="BD27" s="74" t="n"/>
      <c r="BE27" s="75" t="n"/>
      <c r="BF27" s="73" t="n"/>
      <c r="BG27" s="74" t="n"/>
      <c r="BH27" s="74" t="n"/>
      <c r="BI27" s="74" t="n"/>
      <c r="BJ27" s="74" t="n"/>
      <c r="BK27" s="191" t="n"/>
      <c r="BL27" s="191" t="n"/>
      <c r="BM27" s="191" t="n"/>
      <c r="BN27" s="191" t="n"/>
      <c r="BO27" s="191" t="n"/>
      <c r="BP27" s="191" t="n"/>
      <c r="BQ27" s="191" t="n"/>
      <c r="BR27" s="191" t="n"/>
      <c r="BS27" s="191" t="n"/>
      <c r="BT27" s="192" t="n"/>
      <c r="BU27" s="38" t="n"/>
      <c r="BV27" s="39" t="n"/>
    </row>
    <row r="28" ht="23.1" customHeight="1" s="240">
      <c r="B28" s="150" t="inlineStr">
        <is>
          <t>5.2</t>
        </is>
      </c>
      <c r="C28" t="inlineStr">
        <is>
          <t>Ejecutar modelo entrenado sobre dataset externo.</t>
        </is>
      </c>
      <c r="D28" s="152" t="inlineStr">
        <is>
          <t>Andree</t>
        </is>
      </c>
      <c r="E28" s="153" t="n">
        <v>4</v>
      </c>
      <c r="F28" s="154" t="n">
        <v>4</v>
      </c>
      <c r="G28" s="155">
        <f>E28-F28</f>
        <v/>
      </c>
      <c r="H28" s="212" t="n"/>
      <c r="I28" s="157" t="n"/>
      <c r="J28" s="158" t="n"/>
      <c r="K28" s="213" t="n"/>
      <c r="L28" s="201">
        <f>IFERROR(F28/E28,"")</f>
        <v/>
      </c>
      <c r="M28" s="73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5" t="n"/>
      <c r="AB28" s="73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5" t="n"/>
      <c r="AQ28" s="73" t="n"/>
      <c r="AR28" s="74" t="n"/>
      <c r="AS28" s="74" t="n"/>
      <c r="AT28" s="74" t="n"/>
      <c r="AU28" s="74" t="n"/>
      <c r="AV28" s="74" t="n"/>
      <c r="AW28" s="74" t="n"/>
      <c r="AX28" s="74" t="n"/>
      <c r="AY28" s="74" t="n"/>
      <c r="AZ28" s="74" t="n"/>
      <c r="BA28" s="74" t="n"/>
      <c r="BB28" s="74" t="n"/>
      <c r="BC28" s="74" t="n"/>
      <c r="BD28" s="74" t="n"/>
      <c r="BE28" s="75" t="n"/>
      <c r="BF28" s="73" t="n"/>
      <c r="BG28" s="74" t="n"/>
      <c r="BH28" s="74" t="n"/>
      <c r="BI28" s="74" t="n"/>
      <c r="BJ28" s="74" t="n"/>
      <c r="BK28" s="191" t="n"/>
      <c r="BL28" s="191" t="n"/>
      <c r="BM28" s="191" t="n"/>
      <c r="BN28" s="191" t="n"/>
      <c r="BO28" s="191" t="n"/>
      <c r="BP28" s="191" t="n"/>
      <c r="BQ28" s="191" t="n"/>
      <c r="BR28" s="191" t="n"/>
      <c r="BS28" s="191" t="n"/>
      <c r="BT28" s="192" t="n"/>
      <c r="BU28" s="38" t="n"/>
      <c r="BV28" s="39" t="n"/>
    </row>
    <row r="29" ht="23.1" customHeight="1" s="240">
      <c r="B29" s="150" t="inlineStr">
        <is>
          <t>5.3</t>
        </is>
      </c>
      <c r="C29" t="inlineStr">
        <is>
          <t>Comparar métricas con dataset original y documentar resultados.</t>
        </is>
      </c>
      <c r="D29" s="152" t="inlineStr">
        <is>
          <t>Andree</t>
        </is>
      </c>
      <c r="E29" s="153" t="n">
        <v>1</v>
      </c>
      <c r="F29" s="154" t="n">
        <v>1</v>
      </c>
      <c r="G29" s="155">
        <f>E29-F29</f>
        <v/>
      </c>
      <c r="H29" s="212" t="n"/>
      <c r="I29" s="157" t="n"/>
      <c r="J29" s="158" t="n"/>
      <c r="K29" s="213" t="n"/>
      <c r="L29" s="201">
        <f>IFERROR(F29/E29,"")</f>
        <v/>
      </c>
      <c r="M29" s="73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  <c r="AA29" s="75" t="n"/>
      <c r="AB29" s="73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5" t="n"/>
      <c r="AQ29" s="73" t="n"/>
      <c r="AR29" s="74" t="n"/>
      <c r="AS29" s="74" t="n"/>
      <c r="AT29" s="74" t="n"/>
      <c r="AU29" s="74" t="n"/>
      <c r="AV29" s="74" t="n"/>
      <c r="AW29" s="74" t="n"/>
      <c r="AX29" s="74" t="n"/>
      <c r="AY29" s="74" t="n"/>
      <c r="AZ29" s="74" t="n"/>
      <c r="BA29" s="74" t="n"/>
      <c r="BB29" s="74" t="n"/>
      <c r="BC29" s="74" t="n"/>
      <c r="BD29" s="74" t="n"/>
      <c r="BE29" s="75" t="n"/>
      <c r="BF29" s="73" t="n"/>
      <c r="BG29" s="74" t="n"/>
      <c r="BH29" s="74" t="n"/>
      <c r="BI29" s="74" t="n"/>
      <c r="BJ29" s="74" t="n"/>
      <c r="BK29" s="191" t="n"/>
      <c r="BL29" s="191" t="n"/>
      <c r="BM29" s="191" t="n"/>
      <c r="BN29" s="191" t="n"/>
      <c r="BO29" s="191" t="n"/>
      <c r="BP29" s="191" t="n"/>
      <c r="BQ29" s="191" t="n"/>
      <c r="BR29" s="191" t="n"/>
      <c r="BS29" s="191" t="n"/>
      <c r="BT29" s="192" t="n"/>
      <c r="BU29" s="38" t="n"/>
      <c r="BV29" s="39" t="n"/>
    </row>
    <row r="30" ht="23.1" customHeight="1" s="240">
      <c r="B30" s="194" t="inlineStr">
        <is>
          <t>6</t>
        </is>
      </c>
      <c r="C30" s="195" t="inlineStr">
        <is>
          <t>HU-11: Entrenamiento con Dataset Ampliado (8h)</t>
        </is>
      </c>
      <c r="D30" s="196" t="n"/>
      <c r="E30" s="197">
        <f>SUM(E31:E33)</f>
        <v/>
      </c>
      <c r="F30" s="198">
        <f>SUM(F31:F33)</f>
        <v/>
      </c>
      <c r="G30" s="199">
        <f>SUM(G31:G33)</f>
        <v/>
      </c>
      <c r="H30" s="200" t="n"/>
      <c r="I30" s="206" t="n">
        <v>46292</v>
      </c>
      <c r="J30" s="206" t="n">
        <v>46298</v>
      </c>
      <c r="K30" s="207">
        <f>J30-I30+1</f>
        <v/>
      </c>
      <c r="L30" s="201">
        <f>IFERROR(F30/E30,"")</f>
        <v/>
      </c>
      <c r="M30" s="73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5" t="n"/>
      <c r="AB30" s="73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5" t="n"/>
      <c r="AQ30" s="73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5" t="n"/>
      <c r="BF30" s="73" t="n"/>
      <c r="BG30" s="74" t="n"/>
      <c r="BH30" s="74" t="n"/>
      <c r="BI30" s="74" t="n"/>
      <c r="BJ30" s="74" t="n"/>
      <c r="BK30" s="191" t="n"/>
      <c r="BL30" s="191" t="n"/>
      <c r="BM30" s="191" t="n"/>
      <c r="BN30" s="191" t="n"/>
      <c r="BO30" s="191" t="n"/>
      <c r="BP30" s="191" t="n"/>
      <c r="BQ30" s="191" t="n"/>
      <c r="BR30" s="191" t="n"/>
      <c r="BS30" s="191" t="n"/>
      <c r="BT30" s="192" t="n"/>
      <c r="BU30" s="38" t="n"/>
      <c r="BV30" s="39" t="n"/>
    </row>
    <row r="31" ht="23.1" customHeight="1" s="240">
      <c r="B31" s="150" t="inlineStr">
        <is>
          <t>6.1</t>
        </is>
      </c>
      <c r="C31" t="inlineStr">
        <is>
          <t>Incorporar imágenes aumentadas (clima, luz, ángulos distintos).</t>
        </is>
      </c>
      <c r="D31" s="152" t="inlineStr">
        <is>
          <t>Andree</t>
        </is>
      </c>
      <c r="E31" s="153" t="n">
        <v>4</v>
      </c>
      <c r="F31" s="154" t="n">
        <v>4</v>
      </c>
      <c r="G31" s="155">
        <f>E31-F31</f>
        <v/>
      </c>
      <c r="H31" s="212" t="n"/>
      <c r="I31" s="157" t="n"/>
      <c r="J31" s="158" t="n"/>
      <c r="K31" s="213" t="n"/>
      <c r="L31" s="201">
        <f>IFERROR(F31/E31,"")</f>
        <v/>
      </c>
      <c r="M31" s="73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5" t="n"/>
      <c r="AB31" s="73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5" t="n"/>
      <c r="AQ31" s="73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5" t="n"/>
      <c r="BF31" s="73" t="n"/>
      <c r="BG31" s="74" t="n"/>
      <c r="BH31" s="74" t="n"/>
      <c r="BI31" s="74" t="n"/>
      <c r="BJ31" s="74" t="n"/>
      <c r="BK31" s="191" t="n"/>
      <c r="BL31" s="191" t="n"/>
      <c r="BM31" s="191" t="n"/>
      <c r="BN31" s="191" t="n"/>
      <c r="BO31" s="191" t="n"/>
      <c r="BP31" s="191" t="n"/>
      <c r="BQ31" s="191" t="n"/>
      <c r="BR31" s="191" t="n"/>
      <c r="BS31" s="191" t="n"/>
      <c r="BT31" s="192" t="n"/>
      <c r="BU31" s="38" t="n"/>
      <c r="BV31" s="39" t="n"/>
    </row>
    <row r="32" ht="23.1" customHeight="1" s="240">
      <c r="B32" s="150" t="inlineStr">
        <is>
          <t>6.2</t>
        </is>
      </c>
      <c r="C32" t="inlineStr">
        <is>
          <t>Reentrenar modelo con dataset ampliado.</t>
        </is>
      </c>
      <c r="D32" s="152" t="inlineStr">
        <is>
          <t>Andree</t>
        </is>
      </c>
      <c r="E32" s="153" t="n">
        <v>3</v>
      </c>
      <c r="F32" s="154" t="n">
        <v>3</v>
      </c>
      <c r="G32" s="155">
        <f>E32-F32</f>
        <v/>
      </c>
      <c r="H32" s="212" t="n"/>
      <c r="I32" s="157" t="n"/>
      <c r="J32" s="158" t="n"/>
      <c r="K32" s="213" t="n"/>
      <c r="L32" s="201">
        <f>IFERROR(F32/E32,"")</f>
        <v/>
      </c>
      <c r="M32" s="73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5" t="n"/>
      <c r="AB32" s="73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5" t="n"/>
      <c r="AQ32" s="73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5" t="n"/>
      <c r="BF32" s="73" t="n"/>
      <c r="BG32" s="74" t="n"/>
      <c r="BH32" s="74" t="n"/>
      <c r="BI32" s="74" t="n"/>
      <c r="BJ32" s="74" t="n"/>
      <c r="BK32" s="191" t="n"/>
      <c r="BL32" s="191" t="n"/>
      <c r="BM32" s="191" t="n"/>
      <c r="BN32" s="191" t="n"/>
      <c r="BO32" s="191" t="n"/>
      <c r="BP32" s="191" t="n"/>
      <c r="BQ32" s="191" t="n"/>
      <c r="BR32" s="191" t="n"/>
      <c r="BS32" s="191" t="n"/>
      <c r="BT32" s="192" t="n"/>
      <c r="BU32" s="38" t="n"/>
      <c r="BV32" s="39" t="n"/>
    </row>
    <row r="33" ht="23.1" customHeight="1" s="240">
      <c r="B33" s="150" t="inlineStr">
        <is>
          <t>6.3</t>
        </is>
      </c>
      <c r="C33" t="inlineStr">
        <is>
          <t>Evaluar mejoras de generalización respecto al modelo base.</t>
        </is>
      </c>
      <c r="D33" s="152" t="inlineStr">
        <is>
          <t>Andree</t>
        </is>
      </c>
      <c r="E33" s="153" t="n">
        <v>1</v>
      </c>
      <c r="F33" s="154" t="n">
        <v>1</v>
      </c>
      <c r="G33" s="155">
        <f>E33-F33</f>
        <v/>
      </c>
      <c r="H33" s="212" t="n"/>
      <c r="I33" s="157" t="n"/>
      <c r="J33" s="158" t="n"/>
      <c r="K33" s="213" t="n"/>
      <c r="L33" s="201">
        <f>IFERROR(F33/E33,"")</f>
        <v/>
      </c>
      <c r="M33" s="73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5" t="n"/>
      <c r="AB33" s="73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5" t="n"/>
      <c r="AQ33" s="73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5" t="n"/>
      <c r="BF33" s="73" t="n"/>
      <c r="BG33" s="74" t="n"/>
      <c r="BH33" s="74" t="n"/>
      <c r="BI33" s="74" t="n"/>
      <c r="BJ33" s="74" t="n"/>
      <c r="BK33" s="191" t="n"/>
      <c r="BL33" s="191" t="n"/>
      <c r="BM33" s="191" t="n"/>
      <c r="BN33" s="191" t="n"/>
      <c r="BO33" s="191" t="n"/>
      <c r="BP33" s="191" t="n"/>
      <c r="BQ33" s="191" t="n"/>
      <c r="BR33" s="191" t="n"/>
      <c r="BS33" s="191" t="n"/>
      <c r="BT33" s="192" t="n"/>
      <c r="BU33" s="38" t="n"/>
      <c r="BV33" s="39" t="n"/>
    </row>
    <row r="34" ht="23.1" customHeight="1" s="240">
      <c r="B34" s="38" t="n"/>
      <c r="C34" s="38" t="n"/>
      <c r="D34" s="223" t="n"/>
      <c r="E34" s="224" t="inlineStr">
        <is>
          <t>ESTIMAR</t>
        </is>
      </c>
      <c r="F34" s="224" t="inlineStr">
        <is>
          <t>COMPLETADO</t>
        </is>
      </c>
      <c r="G34" s="224" t="inlineStr">
        <is>
          <t>RESTANTE</t>
        </is>
      </c>
      <c r="H34" s="224" t="inlineStr">
        <is>
          <t>DÍAS</t>
        </is>
      </c>
      <c r="I34" s="224" t="inlineStr">
        <is>
          <t>EST/ DÍAS</t>
        </is>
      </c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8" t="n"/>
      <c r="BF34" s="38" t="n"/>
      <c r="BG34" s="38" t="n"/>
      <c r="BH34" s="38" t="n"/>
      <c r="BI34" s="38" t="n"/>
      <c r="BJ34" s="38" t="n"/>
      <c r="BK34" s="38" t="n"/>
      <c r="BL34" s="38" t="n"/>
      <c r="BM34" s="38" t="n"/>
      <c r="BN34" s="38" t="n"/>
      <c r="BO34" s="38" t="n"/>
      <c r="BP34" s="38" t="n"/>
      <c r="BQ34" s="38" t="n"/>
      <c r="BR34" s="38" t="n"/>
      <c r="BS34" s="38" t="n"/>
      <c r="BT34" s="38" t="n"/>
      <c r="BU34" s="38" t="n"/>
      <c r="BV34" s="39" t="n"/>
    </row>
    <row r="35" ht="23.1" customHeight="1" s="240">
      <c r="B35" s="38" t="n"/>
      <c r="C35" s="36" t="inlineStr">
        <is>
          <t>DATOS DE DESGASTE</t>
        </is>
      </c>
      <c r="D35" s="215" t="inlineStr">
        <is>
          <t>TOTAL DE HORAS</t>
        </is>
      </c>
      <c r="E35" s="216">
        <f>SUM(E11:E13,E15:E17,E19:E21,E23:E25,E27:E29,E31:E33)</f>
        <v/>
      </c>
      <c r="F35" s="216">
        <f>SUM(F11:F13,F15:F17,F19:F21,F23:F25,F27:F29,F31:F33)</f>
        <v/>
      </c>
      <c r="G35" s="216">
        <f>SUM(G11:G13,G15:G17,G19:G21,G23:G25,G27:G29,G31:G33)</f>
        <v/>
      </c>
      <c r="H35" s="217" t="n">
        <v>7</v>
      </c>
      <c r="I35" s="218">
        <f>E35/H35</f>
        <v/>
      </c>
      <c r="J35" s="38" t="n"/>
      <c r="K35" s="38" t="n"/>
      <c r="L35" s="182" t="inlineStr">
        <is>
          <t>DÍA</t>
        </is>
      </c>
      <c r="M35" s="95" t="n">
        <v>1</v>
      </c>
      <c r="N35" s="95" t="n">
        <v>2</v>
      </c>
      <c r="O35" s="95" t="n">
        <v>3</v>
      </c>
      <c r="P35" s="95" t="n">
        <v>4</v>
      </c>
      <c r="Q35" s="95" t="n">
        <v>5</v>
      </c>
      <c r="R35" s="95" t="n">
        <v>6</v>
      </c>
      <c r="S35" s="95" t="n">
        <v>7</v>
      </c>
      <c r="T35" s="95" t="n"/>
      <c r="U35" s="95" t="n"/>
      <c r="V35" s="95" t="n"/>
      <c r="W35" s="95" t="n"/>
      <c r="X35" s="95" t="n"/>
      <c r="Y35" s="95" t="n"/>
      <c r="Z35" s="95" t="n"/>
      <c r="AA35" s="95" t="n"/>
      <c r="AB35" s="95" t="n"/>
      <c r="AC35" s="95" t="n"/>
      <c r="AD35" s="95" t="n"/>
      <c r="AE35" s="95" t="n"/>
      <c r="AF35" s="95" t="n"/>
      <c r="AG35" s="95" t="n"/>
      <c r="AH35" s="95" t="n"/>
      <c r="AI35" s="95" t="n"/>
      <c r="AJ35" s="95" t="n"/>
      <c r="AK35" s="95" t="n"/>
      <c r="AL35" s="95" t="n"/>
      <c r="AM35" s="95" t="n"/>
      <c r="AN35" s="95" t="n"/>
      <c r="AO35" s="95" t="n"/>
      <c r="AP35" s="95" t="n"/>
      <c r="AQ35" s="95" t="n"/>
      <c r="AR35" s="95" t="n"/>
      <c r="AS35" s="95" t="n"/>
      <c r="AT35" s="95" t="n"/>
      <c r="AU35" s="95" t="n"/>
      <c r="AV35" s="95" t="n"/>
      <c r="AW35" s="95" t="n"/>
      <c r="AX35" s="95" t="n"/>
      <c r="AY35" s="95" t="n"/>
      <c r="AZ35" s="95" t="n"/>
      <c r="BA35" s="95" t="n"/>
      <c r="BB35" s="95" t="n"/>
      <c r="BC35" s="95" t="n"/>
      <c r="BD35" s="95" t="n"/>
      <c r="BE35" s="95" t="n"/>
      <c r="BF35" s="95" t="n"/>
      <c r="BG35" s="95" t="n"/>
      <c r="BH35" s="95" t="n"/>
      <c r="BI35" s="95" t="n"/>
      <c r="BJ35" s="95" t="n"/>
      <c r="BK35" s="95" t="n"/>
      <c r="BL35" s="95" t="n"/>
      <c r="BM35" s="95" t="n"/>
      <c r="BN35" s="95" t="n"/>
      <c r="BO35" s="95" t="n"/>
      <c r="BP35" s="95" t="n"/>
      <c r="BQ35" s="95" t="n"/>
      <c r="BR35" s="95" t="n"/>
      <c r="BS35" s="95" t="n"/>
      <c r="BT35" s="95" t="n"/>
      <c r="BU35" s="38" t="n"/>
      <c r="BV35" s="137" t="inlineStr">
        <is>
          <t>TOTAL</t>
        </is>
      </c>
    </row>
    <row r="36" ht="23.1" customHeight="1" s="240">
      <c r="B36" s="38" t="n"/>
      <c r="C36" s="38" t="n"/>
      <c r="D36" s="38" t="n"/>
      <c r="E36" s="38" t="n"/>
      <c r="F36" s="38" t="n"/>
      <c r="G36" s="38" t="n"/>
      <c r="H36" s="96" t="inlineStr">
        <is>
          <t xml:space="preserve">     ^ Introduzca el número de días</t>
        </is>
      </c>
      <c r="I36" s="38" t="n"/>
      <c r="J36" s="38" t="n"/>
      <c r="K36" s="38" t="n"/>
      <c r="L36" s="182" t="inlineStr">
        <is>
          <t>PLAN</t>
        </is>
      </c>
      <c r="M36" s="97">
        <f>E35</f>
        <v/>
      </c>
      <c r="N36" s="98">
        <f>M36-I35</f>
        <v/>
      </c>
      <c r="O36" s="98">
        <f>N36-I35</f>
        <v/>
      </c>
      <c r="P36" s="98">
        <f>O36-I35</f>
        <v/>
      </c>
      <c r="Q36" s="98">
        <f>P36-I35</f>
        <v/>
      </c>
      <c r="R36" s="98">
        <f>Q36-I35</f>
        <v/>
      </c>
      <c r="S36" s="98">
        <f>R36-I35</f>
        <v/>
      </c>
      <c r="T36" s="98" t="n"/>
      <c r="U36" s="98" t="n"/>
      <c r="V36" s="98" t="n"/>
      <c r="W36" s="98" t="n"/>
      <c r="X36" s="98" t="n"/>
      <c r="Y36" s="98" t="n"/>
      <c r="Z36" s="98" t="n"/>
      <c r="AA36" s="98" t="n"/>
      <c r="AB36" s="98" t="n"/>
      <c r="AC36" s="98" t="n"/>
      <c r="AD36" s="98" t="n"/>
      <c r="AE36" s="98" t="n"/>
      <c r="AF36" s="98" t="n"/>
      <c r="AG36" s="98" t="n"/>
      <c r="AH36" s="98" t="n"/>
      <c r="AI36" s="98" t="n"/>
      <c r="AJ36" s="98" t="n"/>
      <c r="AK36" s="98" t="n"/>
      <c r="AL36" s="98" t="n"/>
      <c r="AM36" s="98" t="n"/>
      <c r="AN36" s="98" t="n"/>
      <c r="AO36" s="98" t="n"/>
      <c r="AP36" s="98" t="n"/>
      <c r="AQ36" s="98" t="n"/>
      <c r="AR36" s="98" t="n"/>
      <c r="AS36" s="98" t="n"/>
      <c r="AT36" s="98" t="n"/>
      <c r="AU36" s="98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38" t="n"/>
      <c r="BV36" s="138" t="inlineStr">
        <is>
          <t>HORAS</t>
        </is>
      </c>
    </row>
    <row r="37" ht="23.1" customHeight="1" s="240"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182" t="inlineStr">
        <is>
          <t>ESTIMAR</t>
        </is>
      </c>
      <c r="M37" s="97">
        <f>E35</f>
        <v/>
      </c>
      <c r="N37" s="97">
        <f>M39</f>
        <v/>
      </c>
      <c r="O37" s="97">
        <f>N39</f>
        <v/>
      </c>
      <c r="P37" s="97">
        <f>O39</f>
        <v/>
      </c>
      <c r="Q37" s="97">
        <f>P39</f>
        <v/>
      </c>
      <c r="R37" s="97">
        <f>Q39</f>
        <v/>
      </c>
      <c r="S37" s="97">
        <f>R39</f>
        <v/>
      </c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  <c r="AR37" s="97" t="n"/>
      <c r="AS37" s="97" t="n"/>
      <c r="AT37" s="97" t="n"/>
      <c r="AU37" s="97" t="n"/>
      <c r="AV37" s="97" t="n"/>
      <c r="AW37" s="97" t="n"/>
      <c r="AX37" s="97" t="n"/>
      <c r="AY37" s="97" t="n"/>
      <c r="AZ37" s="97" t="n"/>
      <c r="BA37" s="97" t="n"/>
      <c r="BB37" s="97" t="n"/>
      <c r="BC37" s="97" t="n"/>
      <c r="BD37" s="97" t="n"/>
      <c r="BE37" s="97" t="n"/>
      <c r="BF37" s="97" t="n"/>
      <c r="BG37" s="97" t="n"/>
      <c r="BH37" s="97" t="n"/>
      <c r="BI37" s="97" t="n"/>
      <c r="BJ37" s="97" t="n"/>
      <c r="BK37" s="97" t="n"/>
      <c r="BL37" s="97" t="n"/>
      <c r="BM37" s="97" t="n"/>
      <c r="BN37" s="97" t="n"/>
      <c r="BO37" s="97" t="n"/>
      <c r="BP37" s="97" t="n"/>
      <c r="BQ37" s="97" t="n"/>
      <c r="BR37" s="97" t="n"/>
      <c r="BS37" s="97" t="n"/>
      <c r="BT37" s="97" t="n"/>
      <c r="BU37" s="38" t="n"/>
      <c r="BV37" s="139">
        <f>SUM(M37:BT37)</f>
        <v/>
      </c>
    </row>
    <row r="38" ht="23.1" customHeight="1" s="240"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99" t="inlineStr">
        <is>
          <t>Introduzca las horas completadas por día ----&gt;</t>
        </is>
      </c>
      <c r="L38" s="182" t="inlineStr">
        <is>
          <t>HRS COMPLETADO</t>
        </is>
      </c>
      <c r="M38" s="76" t="n">
        <v>0</v>
      </c>
      <c r="N38" s="76" t="n">
        <v>14</v>
      </c>
      <c r="O38" s="76" t="n">
        <v>10</v>
      </c>
      <c r="P38" s="76" t="n">
        <v>12</v>
      </c>
      <c r="Q38" s="76" t="n">
        <v>4</v>
      </c>
      <c r="R38" s="76" t="n">
        <v>2</v>
      </c>
      <c r="S38" s="76" t="n">
        <v>18</v>
      </c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6" t="n"/>
      <c r="AH38" s="76" t="n"/>
      <c r="AI38" s="76" t="n"/>
      <c r="AJ38" s="76" t="n"/>
      <c r="AK38" s="76" t="n"/>
      <c r="AL38" s="76" t="n"/>
      <c r="AM38" s="76" t="n"/>
      <c r="AN38" s="76" t="n"/>
      <c r="AO38" s="76" t="n"/>
      <c r="AP38" s="76" t="n"/>
      <c r="AQ38" s="76" t="n"/>
      <c r="AR38" s="76" t="n"/>
      <c r="AS38" s="76" t="n"/>
      <c r="AT38" s="76" t="n"/>
      <c r="AU38" s="76" t="n"/>
      <c r="AV38" s="76" t="n"/>
      <c r="AW38" s="76" t="n"/>
      <c r="AX38" s="76" t="n"/>
      <c r="AY38" s="76" t="n"/>
      <c r="AZ38" s="76" t="n"/>
      <c r="BA38" s="76" t="n"/>
      <c r="BB38" s="76" t="n"/>
      <c r="BC38" s="76" t="n"/>
      <c r="BD38" s="76" t="n"/>
      <c r="BE38" s="76" t="n"/>
      <c r="BF38" s="76" t="n"/>
      <c r="BG38" s="76" t="n"/>
      <c r="BH38" s="76" t="n"/>
      <c r="BI38" s="76" t="n"/>
      <c r="BJ38" s="76" t="n"/>
      <c r="BK38" s="76" t="n"/>
      <c r="BL38" s="76" t="n"/>
      <c r="BM38" s="76" t="n"/>
      <c r="BN38" s="76" t="n"/>
      <c r="BO38" s="76" t="n"/>
      <c r="BP38" s="76" t="n"/>
      <c r="BQ38" s="76" t="n"/>
      <c r="BR38" s="76" t="n"/>
      <c r="BS38" s="76" t="n"/>
      <c r="BT38" s="76" t="n"/>
      <c r="BU38" s="38" t="n"/>
      <c r="BV38" s="140">
        <f>SUM(M38:BT38)</f>
        <v/>
      </c>
    </row>
    <row r="39" ht="23.1" customHeight="1" s="240"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182" t="inlineStr">
        <is>
          <t>HRS RESTANTE</t>
        </is>
      </c>
      <c r="M39" s="97">
        <f>M37-M38</f>
        <v/>
      </c>
      <c r="N39" s="97">
        <f>N37-N38</f>
        <v/>
      </c>
      <c r="O39" s="97">
        <f>O37-O38</f>
        <v/>
      </c>
      <c r="P39" s="97">
        <f>P37-P38</f>
        <v/>
      </c>
      <c r="Q39" s="97">
        <f>Q37-Q38</f>
        <v/>
      </c>
      <c r="R39" s="97">
        <f>R37-R38</f>
        <v/>
      </c>
      <c r="S39" s="97">
        <f>S37-S38</f>
        <v/>
      </c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7" t="n"/>
      <c r="AI39" s="97" t="n"/>
      <c r="AJ39" s="97" t="n"/>
      <c r="AK39" s="97" t="n"/>
      <c r="AL39" s="97" t="n"/>
      <c r="AM39" s="97" t="n"/>
      <c r="AN39" s="97" t="n"/>
      <c r="AO39" s="97" t="n"/>
      <c r="AP39" s="97" t="n"/>
      <c r="AQ39" s="97" t="n"/>
      <c r="AR39" s="97" t="n"/>
      <c r="AS39" s="97" t="n"/>
      <c r="AT39" s="97" t="n"/>
      <c r="AU39" s="97" t="n"/>
      <c r="AV39" s="97" t="n"/>
      <c r="AW39" s="97" t="n"/>
      <c r="AX39" s="97" t="n"/>
      <c r="AY39" s="97" t="n"/>
      <c r="AZ39" s="97" t="n"/>
      <c r="BA39" s="97" t="n"/>
      <c r="BB39" s="97" t="n"/>
      <c r="BC39" s="97" t="n"/>
      <c r="BD39" s="97" t="n"/>
      <c r="BE39" s="97" t="n"/>
      <c r="BF39" s="97" t="n"/>
      <c r="BG39" s="97" t="n"/>
      <c r="BH39" s="97" t="n"/>
      <c r="BI39" s="97" t="n"/>
      <c r="BJ39" s="97" t="n"/>
      <c r="BK39" s="97" t="n"/>
      <c r="BL39" s="97" t="n"/>
      <c r="BM39" s="97" t="n"/>
      <c r="BN39" s="97" t="n"/>
      <c r="BO39" s="97" t="n"/>
      <c r="BP39" s="97" t="n"/>
      <c r="BQ39" s="97" t="n"/>
      <c r="BR39" s="97" t="n"/>
      <c r="BS39" s="97" t="n"/>
      <c r="BT39" s="97" t="n"/>
      <c r="BU39" s="38" t="n"/>
      <c r="BV39" s="140">
        <f>SUM(M39:BT39)</f>
        <v/>
      </c>
    </row>
    <row r="40" ht="19.5" customHeight="1" s="240">
      <c r="C40" s="36" t="inlineStr">
        <is>
          <t>GRÁFICO DE BURNDOWN</t>
        </is>
      </c>
      <c r="I40" s="210" t="n"/>
    </row>
    <row r="41" ht="381.95" customHeight="1" s="240"/>
    <row r="42" ht="216.95" customHeight="1" s="240"/>
    <row r="43"/>
    <row r="44" ht="50.1" customHeight="1" s="240">
      <c r="B44" s="239" t="n"/>
    </row>
  </sheetData>
  <mergeCells count="23">
    <mergeCell ref="R8:V8"/>
    <mergeCell ref="B8:B9"/>
    <mergeCell ref="B44:BV44"/>
    <mergeCell ref="BA8:BE8"/>
    <mergeCell ref="AV8:AZ8"/>
    <mergeCell ref="L8:L9"/>
    <mergeCell ref="K3:K7"/>
    <mergeCell ref="BF8:BJ8"/>
    <mergeCell ref="BP8:BT8"/>
    <mergeCell ref="C8:C9"/>
    <mergeCell ref="I8:I9"/>
    <mergeCell ref="AQ8:AU8"/>
    <mergeCell ref="K8:K9"/>
    <mergeCell ref="BK8:BO8"/>
    <mergeCell ref="D8:D9"/>
    <mergeCell ref="AB8:AF8"/>
    <mergeCell ref="M8:Q8"/>
    <mergeCell ref="AL8:AP8"/>
    <mergeCell ref="W8:AA8"/>
    <mergeCell ref="H8:H9"/>
    <mergeCell ref="J8:J9"/>
    <mergeCell ref="E8:G8"/>
    <mergeCell ref="AG8:AK8"/>
  </mergeCells>
  <conditionalFormatting sqref="L10:L33">
    <cfRule type="dataBar" priority="3">
      <dataBar>
        <cfvo type="percent" val="0"/>
        <cfvo type="percent" val="100"/>
        <color rgb="FF638EC6"/>
      </dataBar>
    </cfRule>
    <cfRule type="dataBar" priority="4">
      <dataBar>
        <cfvo type="percent" val="1"/>
        <cfvo type="percent" val="100"/>
        <color theme="8" tint="0.5999938962981048"/>
      </dataBar>
    </cfRule>
    <cfRule type="dataBar" priority="1">
      <dataBar>
        <cfvo type="min"/>
        <cfvo type="max"/>
        <color rgb="FF638EC6"/>
      </dataBar>
    </cfRule>
    <cfRule type="dataBar" priority="2">
      <dataBar>
        <cfvo type="num" val="0"/>
        <cfvo type="num" val="1"/>
        <color rgb="FF638EC6"/>
      </dataBar>
    </cfRule>
  </conditionalFormatting>
  <pageMargins left="0.3" right="0.3" top="0.3" bottom="0.3" header="0" footer="0"/>
  <pageSetup orientation="landscape" scale="32" fitToHeight="0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3"/>
    <outlinePr summaryBelow="1" summaryRight="1"/>
    <pageSetUpPr fitToPage="1"/>
  </sheetPr>
  <dimension ref="A1:BV52"/>
  <sheetViews>
    <sheetView showGridLines="0" zoomScaleNormal="100" zoomScalePageLayoutView="70" workbookViewId="0">
      <pane ySplit="1" topLeftCell="A11" activePane="bottomLeft" state="frozen"/>
      <selection pane="bottomLeft" activeCell="D45" sqref="D45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30.2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5" customWidth="1" style="241" min="74" max="74"/>
    <col width="3.25" customWidth="1" style="240" min="75" max="75"/>
    <col width="11.125" customWidth="1" style="240" min="76" max="16384"/>
  </cols>
  <sheetData>
    <row r="1" ht="45" customHeight="1" s="240">
      <c r="A1" s="31" t="n"/>
      <c r="B1" s="32" t="inlineStr">
        <is>
          <t>Implementación de sistema de visión por computadora con CNN para diagnóstico de enfermedades en hojas de cultivos andinos en comunidades de Cusco</t>
        </is>
      </c>
      <c r="C1" s="33" t="n"/>
      <c r="D1" s="33" t="n"/>
      <c r="E1" s="33" t="n"/>
      <c r="F1" s="33" t="n"/>
      <c r="G1" s="33" t="n"/>
      <c r="H1" s="33" t="n"/>
      <c r="I1" s="33" t="n"/>
      <c r="J1" s="34" t="n"/>
      <c r="K1" s="34" t="n"/>
      <c r="L1" s="34" t="n"/>
      <c r="M1" s="34" t="n"/>
      <c r="N1" s="34" t="n"/>
      <c r="O1" s="34" t="n"/>
      <c r="P1" s="34" t="n"/>
    </row>
    <row r="2" ht="35.1" customFormat="1" customHeight="1" s="241" thickBot="1">
      <c r="B2" s="106" t="n"/>
      <c r="C2" s="37" t="n"/>
      <c r="D2" s="37" t="n"/>
      <c r="E2" s="37" t="n"/>
      <c r="F2" s="36" t="n"/>
      <c r="G2" s="37" t="n"/>
      <c r="H2" s="37" t="n"/>
      <c r="I2" s="37" t="n"/>
      <c r="J2" s="37" t="n"/>
      <c r="K2" s="37" t="n"/>
      <c r="L2" s="37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5" t="inlineStr">
        <is>
          <t>SPRINTS</t>
        </is>
      </c>
      <c r="L3" s="42" t="inlineStr">
        <is>
          <t>SPRINT 1</t>
        </is>
      </c>
      <c r="M3" s="43" t="n"/>
      <c r="N3" s="43" t="n"/>
      <c r="O3" s="43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6" t="n"/>
      <c r="BU3" s="38" t="n"/>
      <c r="BV3" s="39" t="n"/>
    </row>
    <row r="4" ht="23.1" customHeight="1" s="240"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246" t="n"/>
      <c r="L4" s="47" t="inlineStr">
        <is>
          <t>SPRINT 2</t>
        </is>
      </c>
      <c r="M4" s="48" t="n"/>
      <c r="N4" s="48" t="n"/>
      <c r="O4" s="48" t="n"/>
      <c r="P4" s="49" t="n"/>
      <c r="Q4" s="49" t="n"/>
      <c r="R4" s="49" t="n"/>
      <c r="S4" s="49" t="n"/>
      <c r="T4" s="49" t="n"/>
      <c r="U4" s="49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2" t="inlineStr">
        <is>
          <t>SPRINT 3</t>
        </is>
      </c>
      <c r="M5" s="48" t="n"/>
      <c r="N5" s="48" t="n"/>
      <c r="O5" s="48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6" t="n"/>
      <c r="L6" s="54" t="inlineStr">
        <is>
          <t>SPRINT 4</t>
        </is>
      </c>
      <c r="M6" s="48" t="n"/>
      <c r="N6" s="48" t="n"/>
      <c r="O6" s="48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 thickBot="1">
      <c r="B7" s="36" t="n"/>
      <c r="C7" s="37" t="n"/>
      <c r="D7" s="37" t="n"/>
      <c r="E7" s="37" t="n"/>
      <c r="F7" s="37" t="n"/>
      <c r="G7" s="37" t="n"/>
      <c r="H7" s="37" t="n"/>
      <c r="I7" s="36" t="n"/>
      <c r="J7" s="37" t="n"/>
      <c r="K7" s="247" t="n"/>
      <c r="L7" s="56" t="inlineStr">
        <is>
          <t>SPRINT 5</t>
        </is>
      </c>
      <c r="M7" s="48" t="n"/>
      <c r="N7" s="48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51" t="n"/>
      <c r="BU7" s="38" t="n"/>
      <c r="BV7" s="39" t="n"/>
    </row>
    <row r="8" ht="23.1" customHeight="1" s="240" thickBot="1">
      <c r="B8" s="262" t="inlineStr">
        <is>
          <t>ESTRUCTURA DE DESGLOSE DEL TRABAJO</t>
        </is>
      </c>
      <c r="C8" s="270" t="inlineStr">
        <is>
          <t>TÍTULO DE LA TAREA</t>
        </is>
      </c>
      <c r="D8" s="266" t="inlineStr">
        <is>
          <t>PROPIETARIO DE LA TAREA</t>
        </is>
      </c>
      <c r="E8" s="242" t="inlineStr">
        <is>
          <t>CANTIDAD DE TRABAJO EN HORAS</t>
        </is>
      </c>
      <c r="F8" s="243" t="n"/>
      <c r="G8" s="244" t="n"/>
      <c r="H8" s="264" t="inlineStr">
        <is>
          <t>CARRERA</t>
        </is>
      </c>
      <c r="I8" s="268" t="inlineStr">
        <is>
          <t>FECHA DE INICIO</t>
        </is>
      </c>
      <c r="J8" s="269" t="inlineStr">
        <is>
          <t>FECHA DE VENCIMIENTO</t>
        </is>
      </c>
      <c r="K8" s="248" t="inlineStr">
        <is>
          <t>DURACIÓN</t>
        </is>
      </c>
      <c r="L8" s="250" t="inlineStr">
        <is>
          <t>PCT DE TAREA COMPLETADA</t>
        </is>
      </c>
      <c r="M8" s="252" t="inlineStr">
        <is>
          <t>SEMANA 1</t>
        </is>
      </c>
      <c r="N8" s="253" t="n"/>
      <c r="O8" s="253" t="n"/>
      <c r="P8" s="253" t="n"/>
      <c r="Q8" s="254" t="n"/>
      <c r="R8" s="255" t="inlineStr">
        <is>
          <t>SEMANA 2</t>
        </is>
      </c>
      <c r="S8" s="253" t="n"/>
      <c r="T8" s="253" t="n"/>
      <c r="U8" s="253" t="n"/>
      <c r="V8" s="254" t="n"/>
      <c r="W8" s="255" t="inlineStr">
        <is>
          <t>SEMANA 3</t>
        </is>
      </c>
      <c r="X8" s="253" t="n"/>
      <c r="Y8" s="253" t="n"/>
      <c r="Z8" s="253" t="n"/>
      <c r="AA8" s="254" t="n"/>
      <c r="AB8" s="257" t="inlineStr">
        <is>
          <t>SEMANA 4</t>
        </is>
      </c>
      <c r="AC8" s="253" t="n"/>
      <c r="AD8" s="253" t="n"/>
      <c r="AE8" s="253" t="n"/>
      <c r="AF8" s="254" t="n"/>
      <c r="AG8" s="258" t="inlineStr">
        <is>
          <t>SEMANA 5</t>
        </is>
      </c>
      <c r="AH8" s="253" t="n"/>
      <c r="AI8" s="253" t="n"/>
      <c r="AJ8" s="253" t="n"/>
      <c r="AK8" s="254" t="n"/>
      <c r="AL8" s="258" t="inlineStr">
        <is>
          <t>SEMANA 6</t>
        </is>
      </c>
      <c r="AM8" s="253" t="n"/>
      <c r="AN8" s="253" t="n"/>
      <c r="AO8" s="253" t="n"/>
      <c r="AP8" s="254" t="n"/>
      <c r="AQ8" s="256" t="inlineStr">
        <is>
          <t>SEMANA 7</t>
        </is>
      </c>
      <c r="AR8" s="253" t="n"/>
      <c r="AS8" s="253" t="n"/>
      <c r="AT8" s="253" t="n"/>
      <c r="AU8" s="254" t="n"/>
      <c r="AV8" s="259" t="inlineStr">
        <is>
          <t>SEMANA 8</t>
        </is>
      </c>
      <c r="AW8" s="253" t="n"/>
      <c r="AX8" s="253" t="n"/>
      <c r="AY8" s="253" t="n"/>
      <c r="AZ8" s="254" t="n"/>
      <c r="BA8" s="259" t="inlineStr">
        <is>
          <t>SEMANA 9</t>
        </is>
      </c>
      <c r="BB8" s="253" t="n"/>
      <c r="BC8" s="253" t="n"/>
      <c r="BD8" s="253" t="n"/>
      <c r="BE8" s="254" t="n"/>
      <c r="BF8" s="260" t="inlineStr">
        <is>
          <t>SEMANA 10</t>
        </is>
      </c>
      <c r="BG8" s="253" t="n"/>
      <c r="BH8" s="253" t="n"/>
      <c r="BI8" s="253" t="n"/>
      <c r="BJ8" s="254" t="n"/>
      <c r="BK8" s="261" t="n"/>
      <c r="BL8" s="253" t="n"/>
      <c r="BM8" s="253" t="n"/>
      <c r="BN8" s="253" t="n"/>
      <c r="BO8" s="254" t="n"/>
      <c r="BP8" s="261" t="n"/>
      <c r="BQ8" s="253" t="n"/>
      <c r="BR8" s="253" t="n"/>
      <c r="BS8" s="253" t="n"/>
      <c r="BT8" s="254" t="n"/>
      <c r="BU8" s="38" t="n"/>
      <c r="BV8" s="39" t="n"/>
    </row>
    <row r="9" ht="23.1" customHeight="1" s="240" thickBot="1" thickTop="1">
      <c r="B9" s="263" t="n"/>
      <c r="C9" s="271" t="n"/>
      <c r="D9" s="267" t="n"/>
      <c r="E9" s="58" t="inlineStr">
        <is>
          <t>ESTIMAR</t>
        </is>
      </c>
      <c r="F9" s="59" t="inlineStr">
        <is>
          <t>COMPLETADO</t>
        </is>
      </c>
      <c r="G9" s="60" t="inlineStr">
        <is>
          <t>RESTANTE</t>
        </is>
      </c>
      <c r="H9" s="265" t="n"/>
      <c r="I9" s="254" t="n"/>
      <c r="J9" s="249" t="n"/>
      <c r="K9" s="249" t="n"/>
      <c r="L9" s="251" t="n"/>
      <c r="M9" s="61" t="inlineStr">
        <is>
          <t>M</t>
        </is>
      </c>
      <c r="N9" s="62" t="inlineStr">
        <is>
          <t>T</t>
        </is>
      </c>
      <c r="O9" s="62" t="inlineStr">
        <is>
          <t>W</t>
        </is>
      </c>
      <c r="P9" s="62" t="inlineStr">
        <is>
          <t>R</t>
        </is>
      </c>
      <c r="Q9" s="62" t="inlineStr">
        <is>
          <t>F</t>
        </is>
      </c>
      <c r="R9" s="62" t="inlineStr">
        <is>
          <t>M</t>
        </is>
      </c>
      <c r="S9" s="62" t="inlineStr">
        <is>
          <t>T</t>
        </is>
      </c>
      <c r="T9" s="62" t="inlineStr">
        <is>
          <t>W</t>
        </is>
      </c>
      <c r="U9" s="62" t="inlineStr">
        <is>
          <t>R</t>
        </is>
      </c>
      <c r="V9" s="62" t="inlineStr">
        <is>
          <t>F</t>
        </is>
      </c>
      <c r="W9" s="62" t="inlineStr">
        <is>
          <t>M</t>
        </is>
      </c>
      <c r="X9" s="62" t="inlineStr">
        <is>
          <t>T</t>
        </is>
      </c>
      <c r="Y9" s="62" t="inlineStr">
        <is>
          <t>W</t>
        </is>
      </c>
      <c r="Z9" s="62" t="inlineStr">
        <is>
          <t>R</t>
        </is>
      </c>
      <c r="AA9" s="63" t="inlineStr">
        <is>
          <t>F</t>
        </is>
      </c>
      <c r="AB9" s="64" t="inlineStr">
        <is>
          <t>M</t>
        </is>
      </c>
      <c r="AC9" s="65" t="inlineStr">
        <is>
          <t>T</t>
        </is>
      </c>
      <c r="AD9" s="65" t="inlineStr">
        <is>
          <t>W</t>
        </is>
      </c>
      <c r="AE9" s="65" t="inlineStr">
        <is>
          <t>R</t>
        </is>
      </c>
      <c r="AF9" s="65" t="inlineStr">
        <is>
          <t>F</t>
        </is>
      </c>
      <c r="AG9" s="65" t="inlineStr">
        <is>
          <t>M</t>
        </is>
      </c>
      <c r="AH9" s="65" t="inlineStr">
        <is>
          <t>T</t>
        </is>
      </c>
      <c r="AI9" s="65" t="inlineStr">
        <is>
          <t>W</t>
        </is>
      </c>
      <c r="AJ9" s="65" t="inlineStr">
        <is>
          <t>R</t>
        </is>
      </c>
      <c r="AK9" s="65" t="inlineStr">
        <is>
          <t>F</t>
        </is>
      </c>
      <c r="AL9" s="65" t="inlineStr">
        <is>
          <t>M</t>
        </is>
      </c>
      <c r="AM9" s="65" t="inlineStr">
        <is>
          <t>T</t>
        </is>
      </c>
      <c r="AN9" s="65" t="inlineStr">
        <is>
          <t>W</t>
        </is>
      </c>
      <c r="AO9" s="65" t="inlineStr">
        <is>
          <t>R</t>
        </is>
      </c>
      <c r="AP9" s="66" t="inlineStr">
        <is>
          <t>F</t>
        </is>
      </c>
      <c r="AQ9" s="67" t="inlineStr">
        <is>
          <t>M</t>
        </is>
      </c>
      <c r="AR9" s="68" t="inlineStr">
        <is>
          <t>T</t>
        </is>
      </c>
      <c r="AS9" s="68" t="inlineStr">
        <is>
          <t>W</t>
        </is>
      </c>
      <c r="AT9" s="68" t="inlineStr">
        <is>
          <t>R</t>
        </is>
      </c>
      <c r="AU9" s="68" t="inlineStr">
        <is>
          <t>F</t>
        </is>
      </c>
      <c r="AV9" s="68" t="inlineStr">
        <is>
          <t>M</t>
        </is>
      </c>
      <c r="AW9" s="68" t="inlineStr">
        <is>
          <t>T</t>
        </is>
      </c>
      <c r="AX9" s="68" t="inlineStr">
        <is>
          <t>W</t>
        </is>
      </c>
      <c r="AY9" s="68" t="inlineStr">
        <is>
          <t>R</t>
        </is>
      </c>
      <c r="AZ9" s="68" t="inlineStr">
        <is>
          <t>F</t>
        </is>
      </c>
      <c r="BA9" s="68" t="inlineStr">
        <is>
          <t>M</t>
        </is>
      </c>
      <c r="BB9" s="68" t="inlineStr">
        <is>
          <t>T</t>
        </is>
      </c>
      <c r="BC9" s="68" t="inlineStr">
        <is>
          <t>W</t>
        </is>
      </c>
      <c r="BD9" s="68" t="inlineStr">
        <is>
          <t>R</t>
        </is>
      </c>
      <c r="BE9" s="69" t="inlineStr">
        <is>
          <t>F</t>
        </is>
      </c>
      <c r="BF9" s="70" t="inlineStr">
        <is>
          <t>M</t>
        </is>
      </c>
      <c r="BG9" s="71" t="inlineStr">
        <is>
          <t>T</t>
        </is>
      </c>
      <c r="BH9" s="71" t="inlineStr">
        <is>
          <t>W</t>
        </is>
      </c>
      <c r="BI9" s="71" t="inlineStr">
        <is>
          <t>R</t>
        </is>
      </c>
      <c r="BJ9" s="71" t="inlineStr">
        <is>
          <t>F</t>
        </is>
      </c>
      <c r="BK9" s="188" t="n"/>
      <c r="BL9" s="188" t="n"/>
      <c r="BM9" s="188" t="n"/>
      <c r="BN9" s="188" t="n"/>
      <c r="BO9" s="188" t="n"/>
      <c r="BP9" s="188" t="n"/>
      <c r="BQ9" s="188" t="n"/>
      <c r="BR9" s="188" t="n"/>
      <c r="BS9" s="188" t="n"/>
      <c r="BT9" s="189" t="n"/>
      <c r="BU9" s="38" t="n"/>
      <c r="BV9" s="39" t="n"/>
    </row>
    <row r="10" ht="23.1" customHeight="1" s="240" thickTop="1">
      <c r="B10" s="202" t="n">
        <v>1</v>
      </c>
      <c r="C10" s="203" t="inlineStr">
        <is>
          <t>HU-14: Historial de Diagnósticos (8h)</t>
        </is>
      </c>
      <c r="D10" s="204" t="n"/>
      <c r="E10" s="197">
        <f>SUM(E11:E13)</f>
        <v/>
      </c>
      <c r="F10" s="198">
        <f>SUM(F11:F13)</f>
        <v/>
      </c>
      <c r="G10" s="199">
        <f>SUM(G11:G13)</f>
        <v/>
      </c>
      <c r="H10" s="205" t="n"/>
      <c r="I10" s="206" t="n">
        <v>46303</v>
      </c>
      <c r="J10" s="206" t="n">
        <v>46309</v>
      </c>
      <c r="K10" s="207">
        <f>J10-I10+1</f>
        <v/>
      </c>
      <c r="L10" s="201">
        <f>IFERROR(F10/E10,"")</f>
        <v/>
      </c>
      <c r="M10" s="73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5" t="n"/>
      <c r="AB10" s="73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5" t="n"/>
      <c r="AQ10" s="73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5" t="n"/>
      <c r="BF10" s="73" t="n"/>
      <c r="BG10" s="74" t="n"/>
      <c r="BH10" s="74" t="n"/>
      <c r="BI10" s="74" t="n"/>
      <c r="BJ10" s="74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81" t="n"/>
      <c r="BU10" s="38" t="n"/>
      <c r="BV10" s="39" t="n"/>
    </row>
    <row r="11" ht="23.1" customHeight="1" s="240">
      <c r="B11" s="150" t="inlineStr">
        <is>
          <t>1.1</t>
        </is>
      </c>
      <c r="C11" t="inlineStr">
        <is>
          <t>Diseñar estructura de base de datos para guardar diagnósticos.</t>
        </is>
      </c>
      <c r="D11" s="152" t="inlineStr">
        <is>
          <t>Yersson</t>
        </is>
      </c>
      <c r="E11" s="153" t="n">
        <v>4</v>
      </c>
      <c r="F11" s="154" t="n">
        <v>4</v>
      </c>
      <c r="G11" s="155">
        <f>E11-F11</f>
        <v/>
      </c>
      <c r="H11" s="156" t="n"/>
      <c r="I11" s="211" t="n"/>
      <c r="J11" s="211" t="n"/>
      <c r="K11" s="213" t="n"/>
      <c r="L11" s="201">
        <f>IFERROR(F11/E11,"")</f>
        <v/>
      </c>
      <c r="M11" s="77" t="n"/>
      <c r="N11" s="78" t="n"/>
      <c r="O11" s="78" t="n"/>
      <c r="P11" s="78" t="n"/>
      <c r="Q11" s="79" t="n"/>
      <c r="R11" s="79" t="n"/>
      <c r="S11" s="79" t="n"/>
      <c r="T11" s="79" t="n"/>
      <c r="U11" s="80" t="n"/>
      <c r="V11" s="80" t="n"/>
      <c r="W11" s="78" t="n"/>
      <c r="X11" s="78" t="n"/>
      <c r="Y11" s="78" t="n"/>
      <c r="Z11" s="78" t="n"/>
      <c r="AA11" s="81" t="n"/>
      <c r="AB11" s="77" t="n"/>
      <c r="AC11" s="78" t="n"/>
      <c r="AD11" s="78" t="n"/>
      <c r="AE11" s="78" t="n"/>
      <c r="AF11" s="78" t="n"/>
      <c r="AG11" s="82" t="n"/>
      <c r="AH11" s="82" t="n"/>
      <c r="AI11" s="82" t="n"/>
      <c r="AJ11" s="82" t="n"/>
      <c r="AK11" s="82" t="n"/>
      <c r="AL11" s="78" t="n"/>
      <c r="AM11" s="78" t="n"/>
      <c r="AN11" s="78" t="n"/>
      <c r="AO11" s="78" t="n"/>
      <c r="AP11" s="81" t="n"/>
      <c r="AQ11" s="77" t="n"/>
      <c r="AR11" s="78" t="n"/>
      <c r="AS11" s="78" t="n"/>
      <c r="AT11" s="78" t="n"/>
      <c r="AU11" s="78" t="n"/>
      <c r="AV11" s="83" t="n"/>
      <c r="AW11" s="83" t="n"/>
      <c r="AX11" s="83" t="n"/>
      <c r="AY11" s="83" t="n"/>
      <c r="AZ11" s="83" t="n"/>
      <c r="BA11" s="78" t="n"/>
      <c r="BB11" s="78" t="n"/>
      <c r="BC11" s="78" t="n"/>
      <c r="BD11" s="78" t="n"/>
      <c r="BE11" s="81" t="n"/>
      <c r="BF11" s="77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81" t="n"/>
      <c r="BU11" s="38" t="n"/>
      <c r="BV11" s="39" t="n"/>
    </row>
    <row r="12" ht="23.1" customHeight="1" s="240">
      <c r="B12" s="150" t="inlineStr">
        <is>
          <t>1.2</t>
        </is>
      </c>
      <c r="C12" t="inlineStr">
        <is>
          <t>Implementar visualización del historial en la interfaz web.</t>
        </is>
      </c>
      <c r="D12" s="152" t="inlineStr">
        <is>
          <t>Yersson</t>
        </is>
      </c>
      <c r="E12" s="153" t="n">
        <v>2</v>
      </c>
      <c r="F12" s="154" t="n">
        <v>2</v>
      </c>
      <c r="G12" s="155">
        <f>E12-F12</f>
        <v/>
      </c>
      <c r="H12" s="163" t="n"/>
      <c r="I12" s="211" t="n"/>
      <c r="J12" s="211" t="n"/>
      <c r="K12" s="213" t="n"/>
      <c r="L12" s="201">
        <f>IFERROR(F12/E12,"")</f>
        <v/>
      </c>
      <c r="M12" s="77" t="n"/>
      <c r="N12" s="78" t="n"/>
      <c r="O12" s="78" t="n"/>
      <c r="P12" s="78" t="n"/>
      <c r="Q12" s="78" t="n"/>
      <c r="R12" s="80" t="n"/>
      <c r="S12" s="80" t="n"/>
      <c r="T12" s="79" t="n"/>
      <c r="U12" s="79" t="n"/>
      <c r="V12" s="80" t="n"/>
      <c r="W12" s="78" t="n"/>
      <c r="X12" s="78" t="n"/>
      <c r="Y12" s="78" t="n"/>
      <c r="Z12" s="78" t="n"/>
      <c r="AA12" s="81" t="n"/>
      <c r="AB12" s="77" t="n"/>
      <c r="AC12" s="78" t="n"/>
      <c r="AD12" s="78" t="n"/>
      <c r="AE12" s="78" t="n"/>
      <c r="AF12" s="78" t="n"/>
      <c r="AG12" s="82" t="n"/>
      <c r="AH12" s="82" t="n"/>
      <c r="AI12" s="82" t="n"/>
      <c r="AJ12" s="82" t="n"/>
      <c r="AK12" s="82" t="n"/>
      <c r="AL12" s="78" t="n"/>
      <c r="AM12" s="78" t="n"/>
      <c r="AN12" s="78" t="n"/>
      <c r="AO12" s="78" t="n"/>
      <c r="AP12" s="81" t="n"/>
      <c r="AQ12" s="77" t="n"/>
      <c r="AR12" s="78" t="n"/>
      <c r="AS12" s="78" t="n"/>
      <c r="AT12" s="78" t="n"/>
      <c r="AU12" s="78" t="n"/>
      <c r="AV12" s="83" t="n"/>
      <c r="AW12" s="83" t="n"/>
      <c r="AX12" s="83" t="n"/>
      <c r="AY12" s="83" t="n"/>
      <c r="AZ12" s="83" t="n"/>
      <c r="BA12" s="78" t="n"/>
      <c r="BB12" s="78" t="n"/>
      <c r="BC12" s="78" t="n"/>
      <c r="BD12" s="78" t="n"/>
      <c r="BE12" s="81" t="n"/>
      <c r="BF12" s="77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81" t="n"/>
      <c r="BU12" s="38" t="n"/>
      <c r="BV12" s="39" t="n"/>
    </row>
    <row r="13" ht="23.1" customHeight="1" s="240">
      <c r="B13" s="150" t="inlineStr">
        <is>
          <t>1.3</t>
        </is>
      </c>
      <c r="C13" t="inlineStr">
        <is>
          <t>Permitir filtrado por fecha o tipo de enfermedad.</t>
        </is>
      </c>
      <c r="D13" s="152" t="inlineStr">
        <is>
          <t>Yersson</t>
        </is>
      </c>
      <c r="E13" s="153" t="n">
        <v>2</v>
      </c>
      <c r="F13" s="154" t="n">
        <v>2</v>
      </c>
      <c r="G13" s="155">
        <f>E13-F13</f>
        <v/>
      </c>
      <c r="H13" s="156" t="n"/>
      <c r="I13" s="211" t="n"/>
      <c r="J13" s="211" t="n"/>
      <c r="K13" s="213" t="n"/>
      <c r="L13" s="201">
        <f>IFERROR(F13/E13,"")</f>
        <v/>
      </c>
      <c r="M13" s="77" t="n"/>
      <c r="N13" s="78" t="n"/>
      <c r="O13" s="78" t="n"/>
      <c r="P13" s="78" t="n"/>
      <c r="Q13" s="78" t="n"/>
      <c r="R13" s="80" t="n"/>
      <c r="S13" s="80" t="n"/>
      <c r="T13" s="79" t="n"/>
      <c r="U13" s="79" t="n"/>
      <c r="V13" s="79" t="n"/>
      <c r="W13" s="79" t="n"/>
      <c r="X13" s="79" t="n"/>
      <c r="Y13" s="79" t="n"/>
      <c r="Z13" s="79" t="n"/>
      <c r="AA13" s="81" t="n"/>
      <c r="AB13" s="77" t="n"/>
      <c r="AC13" s="78" t="n"/>
      <c r="AD13" s="78" t="n"/>
      <c r="AE13" s="78" t="n"/>
      <c r="AF13" s="78" t="n"/>
      <c r="AG13" s="82" t="n"/>
      <c r="AH13" s="82" t="n"/>
      <c r="AI13" s="82" t="n"/>
      <c r="AJ13" s="82" t="n"/>
      <c r="AK13" s="82" t="n"/>
      <c r="AL13" s="78" t="n"/>
      <c r="AM13" s="78" t="n"/>
      <c r="AN13" s="78" t="n"/>
      <c r="AO13" s="78" t="n"/>
      <c r="AP13" s="81" t="n"/>
      <c r="AQ13" s="77" t="n"/>
      <c r="AR13" s="78" t="n"/>
      <c r="AS13" s="78" t="n"/>
      <c r="AT13" s="78" t="n"/>
      <c r="AU13" s="78" t="n"/>
      <c r="AV13" s="83" t="n"/>
      <c r="AW13" s="83" t="n"/>
      <c r="AX13" s="83" t="n"/>
      <c r="AY13" s="83" t="n"/>
      <c r="AZ13" s="83" t="n"/>
      <c r="BA13" s="78" t="n"/>
      <c r="BB13" s="78" t="n"/>
      <c r="BC13" s="78" t="n"/>
      <c r="BD13" s="78" t="n"/>
      <c r="BE13" s="81" t="n"/>
      <c r="BF13" s="77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81" t="n"/>
      <c r="BU13" s="38" t="n"/>
      <c r="BV13" s="39" t="n"/>
    </row>
    <row r="14" ht="23.1" customHeight="1" s="240">
      <c r="B14" s="194" t="inlineStr">
        <is>
          <t>2</t>
        </is>
      </c>
      <c r="C14" s="195" t="inlineStr">
        <is>
          <t>HU-17: Notas en Diagnóstico (4h)</t>
        </is>
      </c>
      <c r="D14" s="196" t="n"/>
      <c r="E14" s="197">
        <f>SUM(E15:E17)</f>
        <v/>
      </c>
      <c r="F14" s="198">
        <f>SUM(F15:F17)</f>
        <v/>
      </c>
      <c r="G14" s="199">
        <f>SUM(G15:G17)</f>
        <v/>
      </c>
      <c r="H14" s="200" t="n"/>
      <c r="I14" s="206" t="n">
        <v>46303</v>
      </c>
      <c r="J14" s="206" t="n">
        <v>46309</v>
      </c>
      <c r="K14" s="207">
        <f>J14-I14+1</f>
        <v/>
      </c>
      <c r="L14" s="201">
        <f>IFERROR(F14/E14,"")</f>
        <v/>
      </c>
      <c r="M14" s="73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5" t="n"/>
      <c r="AB14" s="73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5" t="n"/>
      <c r="AQ14" s="73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74" t="n"/>
      <c r="BA14" s="74" t="n"/>
      <c r="BB14" s="74" t="n"/>
      <c r="BC14" s="74" t="n"/>
      <c r="BD14" s="74" t="n"/>
      <c r="BE14" s="75" t="n"/>
      <c r="BF14" s="73" t="n"/>
      <c r="BG14" s="74" t="n"/>
      <c r="BH14" s="74" t="n"/>
      <c r="BI14" s="74" t="n"/>
      <c r="BJ14" s="74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81" t="n"/>
      <c r="BU14" s="38" t="n"/>
      <c r="BV14" s="39" t="n"/>
    </row>
    <row r="15" ht="23.1" customHeight="1" s="240">
      <c r="B15" s="150" t="n">
        <v>2.1</v>
      </c>
      <c r="C15" t="inlineStr">
        <is>
          <t>Crear campo para añadir notas o comentarios por diagnóstico.</t>
        </is>
      </c>
      <c r="D15" s="152" t="inlineStr">
        <is>
          <t>Yersson</t>
        </is>
      </c>
      <c r="E15" s="153" t="n">
        <v>2</v>
      </c>
      <c r="F15" s="154" t="n">
        <v>2</v>
      </c>
      <c r="G15" s="155">
        <f>E15-F15</f>
        <v/>
      </c>
      <c r="H15" s="156" t="n"/>
      <c r="I15" s="187" t="n"/>
      <c r="J15" s="187" t="n"/>
      <c r="K15" s="213" t="n"/>
      <c r="L15" s="201">
        <f>IFERROR(F15/E15,"")</f>
        <v/>
      </c>
      <c r="M15" s="77" t="n"/>
      <c r="N15" s="78" t="n"/>
      <c r="O15" s="78" t="n"/>
      <c r="P15" s="78" t="n"/>
      <c r="Q15" s="78" t="n"/>
      <c r="R15" s="80" t="n"/>
      <c r="S15" s="80" t="n"/>
      <c r="T15" s="80" t="n"/>
      <c r="U15" s="80" t="n"/>
      <c r="V15" s="80" t="n"/>
      <c r="W15" s="78" t="n"/>
      <c r="X15" s="78" t="n"/>
      <c r="Y15" s="78" t="n"/>
      <c r="Z15" s="78" t="n"/>
      <c r="AA15" s="81" t="n"/>
      <c r="AB15" s="84" t="n"/>
      <c r="AC15" s="85" t="n"/>
      <c r="AD15" s="85" t="n"/>
      <c r="AE15" s="85" t="n"/>
      <c r="AF15" s="85" t="n"/>
      <c r="AG15" s="82" t="n"/>
      <c r="AH15" s="82" t="n"/>
      <c r="AI15" s="82" t="n"/>
      <c r="AJ15" s="82" t="n"/>
      <c r="AK15" s="82" t="n"/>
      <c r="AL15" s="78" t="n"/>
      <c r="AM15" s="78" t="n"/>
      <c r="AN15" s="78" t="n"/>
      <c r="AO15" s="78" t="n"/>
      <c r="AP15" s="81" t="n"/>
      <c r="AQ15" s="77" t="n"/>
      <c r="AR15" s="78" t="n"/>
      <c r="AS15" s="78" t="n"/>
      <c r="AT15" s="78" t="n"/>
      <c r="AU15" s="78" t="n"/>
      <c r="AV15" s="83" t="n"/>
      <c r="AW15" s="83" t="n"/>
      <c r="AX15" s="83" t="n"/>
      <c r="AY15" s="83" t="n"/>
      <c r="AZ15" s="83" t="n"/>
      <c r="BA15" s="78" t="n"/>
      <c r="BB15" s="78" t="n"/>
      <c r="BC15" s="78" t="n"/>
      <c r="BD15" s="78" t="n"/>
      <c r="BE15" s="81" t="n"/>
      <c r="BF15" s="77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81" t="n"/>
      <c r="BU15" s="38" t="n"/>
      <c r="BV15" s="39" t="n"/>
    </row>
    <row r="16" ht="23.1" customHeight="1" s="240">
      <c r="B16" s="150" t="n">
        <v>2.2</v>
      </c>
      <c r="C16" t="inlineStr">
        <is>
          <t>Guardar notas junto a la imagen y resultado.</t>
        </is>
      </c>
      <c r="D16" s="152" t="inlineStr">
        <is>
          <t>Yersson</t>
        </is>
      </c>
      <c r="E16" s="153" t="n">
        <v>1</v>
      </c>
      <c r="F16" s="154" t="n">
        <v>1</v>
      </c>
      <c r="G16" s="155">
        <f>E16-F16</f>
        <v/>
      </c>
      <c r="H16" s="156" t="n"/>
      <c r="I16" s="187" t="n"/>
      <c r="J16" s="187" t="n"/>
      <c r="K16" s="213" t="n"/>
      <c r="L16" s="201">
        <f>IFERROR(F16/E16,"")</f>
        <v/>
      </c>
      <c r="M16" s="77" t="n"/>
      <c r="N16" s="78" t="n"/>
      <c r="O16" s="78" t="n"/>
      <c r="P16" s="78" t="n"/>
      <c r="Q16" s="78" t="n"/>
      <c r="R16" s="80" t="n"/>
      <c r="S16" s="80" t="n"/>
      <c r="T16" s="80" t="n"/>
      <c r="U16" s="80" t="n"/>
      <c r="V16" s="80" t="n"/>
      <c r="W16" s="78" t="n"/>
      <c r="X16" s="78" t="n"/>
      <c r="Y16" s="78" t="n"/>
      <c r="Z16" s="78" t="n"/>
      <c r="AA16" s="81" t="n"/>
      <c r="AB16" s="77" t="n"/>
      <c r="AC16" s="78" t="n"/>
      <c r="AD16" s="78" t="n"/>
      <c r="AE16" s="78" t="n"/>
      <c r="AF16" s="78" t="n"/>
      <c r="AG16" s="85" t="n"/>
      <c r="AH16" s="85" t="n"/>
      <c r="AI16" s="85" t="n"/>
      <c r="AJ16" s="85" t="n"/>
      <c r="AK16" s="85" t="n"/>
      <c r="AL16" s="78" t="n"/>
      <c r="AM16" s="78" t="n"/>
      <c r="AN16" s="78" t="n"/>
      <c r="AO16" s="78" t="n"/>
      <c r="AP16" s="81" t="n"/>
      <c r="AQ16" s="77" t="n"/>
      <c r="AR16" s="78" t="n"/>
      <c r="AS16" s="78" t="n"/>
      <c r="AT16" s="78" t="n"/>
      <c r="AU16" s="78" t="n"/>
      <c r="AV16" s="83" t="n"/>
      <c r="AW16" s="83" t="n"/>
      <c r="AX16" s="83" t="n"/>
      <c r="AY16" s="83" t="n"/>
      <c r="AZ16" s="83" t="n"/>
      <c r="BA16" s="78" t="n"/>
      <c r="BB16" s="78" t="n"/>
      <c r="BC16" s="78" t="n"/>
      <c r="BD16" s="78" t="n"/>
      <c r="BE16" s="81" t="n"/>
      <c r="BF16" s="77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81" t="n"/>
      <c r="BU16" s="38" t="n"/>
      <c r="BV16" s="39" t="n"/>
    </row>
    <row r="17" ht="23.1" customHeight="1" s="240">
      <c r="B17" s="150" t="n">
        <v>2.3</v>
      </c>
      <c r="C17" t="inlineStr">
        <is>
          <t>Mostrar notas en el historial de diagnósticos.</t>
        </is>
      </c>
      <c r="D17" s="152" t="inlineStr">
        <is>
          <t>Yersson</t>
        </is>
      </c>
      <c r="E17" s="153" t="n">
        <v>1</v>
      </c>
      <c r="F17" s="154" t="n">
        <v>1</v>
      </c>
      <c r="G17" s="155">
        <f>E17-F17</f>
        <v/>
      </c>
      <c r="H17" s="156" t="n"/>
      <c r="I17" s="187" t="n"/>
      <c r="J17" s="187" t="n"/>
      <c r="K17" s="213" t="n"/>
      <c r="L17" s="201">
        <f>IFERROR(F17/E17,"")</f>
        <v/>
      </c>
      <c r="M17" s="77" t="n"/>
      <c r="N17" s="78" t="n"/>
      <c r="O17" s="78" t="n"/>
      <c r="P17" s="78" t="n"/>
      <c r="Q17" s="78" t="n"/>
      <c r="R17" s="80" t="n"/>
      <c r="S17" s="80" t="n"/>
      <c r="T17" s="80" t="n"/>
      <c r="U17" s="80" t="n"/>
      <c r="V17" s="80" t="n"/>
      <c r="W17" s="78" t="n"/>
      <c r="X17" s="78" t="n"/>
      <c r="Y17" s="78" t="n"/>
      <c r="Z17" s="78" t="n"/>
      <c r="AA17" s="81" t="n"/>
      <c r="AB17" s="77" t="n"/>
      <c r="AC17" s="78" t="n"/>
      <c r="AD17" s="78" t="n"/>
      <c r="AE17" s="78" t="n"/>
      <c r="AF17" s="78" t="n"/>
      <c r="AG17" s="82" t="n"/>
      <c r="AH17" s="82" t="n"/>
      <c r="AI17" s="82" t="n"/>
      <c r="AJ17" s="82" t="n"/>
      <c r="AK17" s="82" t="n"/>
      <c r="AL17" s="78" t="n"/>
      <c r="AM17" s="78" t="n"/>
      <c r="AN17" s="78" t="n"/>
      <c r="AO17" s="78" t="n"/>
      <c r="AP17" s="81" t="n"/>
      <c r="AQ17" s="77" t="n"/>
      <c r="AR17" s="78" t="n"/>
      <c r="AS17" s="78" t="n"/>
      <c r="AT17" s="78" t="n"/>
      <c r="AU17" s="78" t="n"/>
      <c r="AV17" s="83" t="n"/>
      <c r="AW17" s="83" t="n"/>
      <c r="AX17" s="83" t="n"/>
      <c r="AY17" s="83" t="n"/>
      <c r="AZ17" s="83" t="n"/>
      <c r="BA17" s="78" t="n"/>
      <c r="BB17" s="78" t="n"/>
      <c r="BC17" s="78" t="n"/>
      <c r="BD17" s="78" t="n"/>
      <c r="BE17" s="81" t="n"/>
      <c r="BF17" s="77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81" t="n"/>
      <c r="BU17" s="38" t="n"/>
      <c r="BV17" s="39" t="n"/>
    </row>
    <row r="18" ht="23.1" customHeight="1" s="240">
      <c r="B18" s="194" t="n">
        <v>3</v>
      </c>
      <c r="C18" s="195" t="inlineStr">
        <is>
          <t>HU-18: Validación de Calidad de Imagen (8h)</t>
        </is>
      </c>
      <c r="D18" s="196" t="n"/>
      <c r="E18" s="197">
        <f>SUM(E19:E21)</f>
        <v/>
      </c>
      <c r="F18" s="198">
        <f>SUM(F19:F21)</f>
        <v/>
      </c>
      <c r="G18" s="199">
        <f>SUM(G19:G21)</f>
        <v/>
      </c>
      <c r="H18" s="200" t="n"/>
      <c r="I18" s="206" t="n">
        <v>46303</v>
      </c>
      <c r="J18" s="206" t="n">
        <v>46309</v>
      </c>
      <c r="K18" s="207">
        <f>J18-I18+1</f>
        <v/>
      </c>
      <c r="L18" s="201">
        <f>IFERROR(F18/E18,"")</f>
        <v/>
      </c>
      <c r="M18" s="73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5" t="n"/>
      <c r="AB18" s="73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5" t="n"/>
      <c r="AQ18" s="73" t="n"/>
      <c r="AR18" s="74" t="n"/>
      <c r="AS18" s="74" t="n"/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/>
      <c r="BD18" s="74" t="n"/>
      <c r="BE18" s="75" t="n"/>
      <c r="BF18" s="73" t="n"/>
      <c r="BG18" s="74" t="n"/>
      <c r="BH18" s="74" t="n"/>
      <c r="BI18" s="74" t="n"/>
      <c r="BJ18" s="74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81" t="n"/>
      <c r="BU18" s="38" t="n"/>
      <c r="BV18" s="39" t="n"/>
    </row>
    <row r="19" ht="23.1" customHeight="1" s="240">
      <c r="B19" s="150" t="n">
        <v>3.1</v>
      </c>
      <c r="C19" t="inlineStr">
        <is>
          <t>Implementar detección de imágenes borrosas o incompletas.</t>
        </is>
      </c>
      <c r="D19" s="152" t="inlineStr">
        <is>
          <t>Yersson</t>
        </is>
      </c>
      <c r="E19" s="153" t="n">
        <v>4</v>
      </c>
      <c r="F19" s="154" t="n">
        <v>4</v>
      </c>
      <c r="G19" s="155">
        <f>E19-F19</f>
        <v/>
      </c>
      <c r="H19" s="156" t="n"/>
      <c r="I19" s="157" t="n"/>
      <c r="J19" s="158" t="n"/>
      <c r="K19" s="213" t="n"/>
      <c r="L19" s="201">
        <f>IFERROR(F19/E19,"")</f>
        <v/>
      </c>
      <c r="M19" s="77" t="n"/>
      <c r="N19" s="78" t="n"/>
      <c r="O19" s="78" t="n"/>
      <c r="P19" s="78" t="n"/>
      <c r="Q19" s="78" t="n"/>
      <c r="R19" s="80" t="n"/>
      <c r="S19" s="80" t="n"/>
      <c r="T19" s="80" t="n"/>
      <c r="U19" s="80" t="n"/>
      <c r="V19" s="80" t="n"/>
      <c r="W19" s="78" t="n"/>
      <c r="X19" s="78" t="n"/>
      <c r="Y19" s="78" t="n"/>
      <c r="Z19" s="78" t="n"/>
      <c r="AA19" s="81" t="n"/>
      <c r="AB19" s="77" t="n"/>
      <c r="AC19" s="78" t="n"/>
      <c r="AD19" s="78" t="n"/>
      <c r="AE19" s="78" t="n"/>
      <c r="AF19" s="78" t="n"/>
      <c r="AG19" s="82" t="n"/>
      <c r="AH19" s="82" t="n"/>
      <c r="AI19" s="82" t="n"/>
      <c r="AJ19" s="82" t="n"/>
      <c r="AK19" s="82" t="n"/>
      <c r="AL19" s="78" t="n"/>
      <c r="AM19" s="78" t="n"/>
      <c r="AN19" s="78" t="n"/>
      <c r="AO19" s="78" t="n"/>
      <c r="AP19" s="81" t="n"/>
      <c r="AQ19" s="77" t="n"/>
      <c r="AR19" s="78" t="n"/>
      <c r="AS19" s="78" t="n"/>
      <c r="AT19" s="78" t="n"/>
      <c r="AU19" s="78" t="n"/>
      <c r="AV19" s="83" t="n"/>
      <c r="AW19" s="83" t="n"/>
      <c r="AX19" s="83" t="n"/>
      <c r="AY19" s="83" t="n"/>
      <c r="AZ19" s="83" t="n"/>
      <c r="BA19" s="78" t="n"/>
      <c r="BB19" s="78" t="n"/>
      <c r="BC19" s="78" t="n"/>
      <c r="BD19" s="78" t="n"/>
      <c r="BE19" s="81" t="n"/>
      <c r="BF19" s="77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81" t="n"/>
      <c r="BU19" s="38" t="n"/>
      <c r="BV19" s="39" t="n"/>
    </row>
    <row r="20" ht="23.1" customHeight="1" s="240">
      <c r="B20" s="150" t="n">
        <v>3.2</v>
      </c>
      <c r="C20" t="inlineStr">
        <is>
          <t>Notificar al usuario cuando la imagen no cumpla calidad mínima.</t>
        </is>
      </c>
      <c r="D20" s="152" t="inlineStr">
        <is>
          <t>Yersson</t>
        </is>
      </c>
      <c r="E20" s="153" t="n">
        <v>3</v>
      </c>
      <c r="F20" s="154" t="n">
        <v>3</v>
      </c>
      <c r="G20" s="155">
        <f>E20-F20</f>
        <v/>
      </c>
      <c r="H20" s="156" t="n"/>
      <c r="I20" s="157" t="n"/>
      <c r="J20" s="158" t="n"/>
      <c r="K20" s="213" t="n"/>
      <c r="L20" s="201">
        <f>IFERROR(F20/E20,"")</f>
        <v/>
      </c>
      <c r="M20" s="77" t="n"/>
      <c r="N20" s="78" t="n"/>
      <c r="O20" s="78" t="n"/>
      <c r="P20" s="78" t="n"/>
      <c r="Q20" s="78" t="n"/>
      <c r="R20" s="80" t="n"/>
      <c r="S20" s="80" t="n"/>
      <c r="T20" s="80" t="n"/>
      <c r="U20" s="80" t="n"/>
      <c r="V20" s="80" t="n"/>
      <c r="W20" s="78" t="n"/>
      <c r="X20" s="78" t="n"/>
      <c r="Y20" s="78" t="n"/>
      <c r="Z20" s="78" t="n"/>
      <c r="AA20" s="81" t="n"/>
      <c r="AB20" s="77" t="n"/>
      <c r="AC20" s="78" t="n"/>
      <c r="AD20" s="78" t="n"/>
      <c r="AE20" s="78" t="n"/>
      <c r="AF20" s="78" t="n"/>
      <c r="AG20" s="82" t="n"/>
      <c r="AH20" s="82" t="n"/>
      <c r="AI20" s="82" t="n"/>
      <c r="AJ20" s="82" t="n"/>
      <c r="AK20" s="82" t="n"/>
      <c r="AL20" s="78" t="n"/>
      <c r="AM20" s="78" t="n"/>
      <c r="AN20" s="78" t="n"/>
      <c r="AO20" s="78" t="n"/>
      <c r="AP20" s="81" t="n"/>
      <c r="AQ20" s="77" t="n"/>
      <c r="AR20" s="78" t="n"/>
      <c r="AS20" s="78" t="n"/>
      <c r="AT20" s="78" t="n"/>
      <c r="AU20" s="78" t="n"/>
      <c r="AV20" s="83" t="n"/>
      <c r="AW20" s="83" t="n"/>
      <c r="AX20" s="83" t="n"/>
      <c r="AY20" s="83" t="n"/>
      <c r="AZ20" s="83" t="n"/>
      <c r="BA20" s="78" t="n"/>
      <c r="BB20" s="78" t="n"/>
      <c r="BC20" s="78" t="n"/>
      <c r="BD20" s="78" t="n"/>
      <c r="BE20" s="81" t="n"/>
      <c r="BF20" s="77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81" t="n"/>
      <c r="BU20" s="38" t="n"/>
      <c r="BV20" s="39" t="n"/>
    </row>
    <row r="21" ht="23.1" customHeight="1" s="240">
      <c r="B21" s="150" t="inlineStr">
        <is>
          <t>3.3</t>
        </is>
      </c>
      <c r="C21" t="inlineStr">
        <is>
          <t>Registrar estadísticas de calidad en los reportes</t>
        </is>
      </c>
      <c r="D21" s="152" t="inlineStr">
        <is>
          <t>Yersson</t>
        </is>
      </c>
      <c r="E21" s="153" t="n">
        <v>1</v>
      </c>
      <c r="F21" s="154" t="n">
        <v>1</v>
      </c>
      <c r="G21" s="155">
        <f>E21-F21</f>
        <v/>
      </c>
      <c r="H21" s="163" t="n"/>
      <c r="I21" s="157" t="n"/>
      <c r="J21" s="158" t="n"/>
      <c r="K21" s="213" t="n"/>
      <c r="L21" s="201">
        <f>IFERROR(F21/E21,"")</f>
        <v/>
      </c>
      <c r="M21" s="77" t="n"/>
      <c r="N21" s="78" t="n"/>
      <c r="O21" s="78" t="n"/>
      <c r="P21" s="78" t="n"/>
      <c r="Q21" s="78" t="n"/>
      <c r="R21" s="80" t="n"/>
      <c r="S21" s="80" t="n"/>
      <c r="T21" s="80" t="n"/>
      <c r="U21" s="80" t="n"/>
      <c r="V21" s="80" t="n"/>
      <c r="W21" s="78" t="n"/>
      <c r="X21" s="78" t="n"/>
      <c r="Y21" s="78" t="n"/>
      <c r="Z21" s="78" t="n"/>
      <c r="AA21" s="81" t="n"/>
      <c r="AB21" s="77" t="n"/>
      <c r="AC21" s="78" t="n"/>
      <c r="AD21" s="78" t="n"/>
      <c r="AE21" s="78" t="n"/>
      <c r="AF21" s="78" t="n"/>
      <c r="AG21" s="82" t="n"/>
      <c r="AH21" s="82" t="n"/>
      <c r="AI21" s="82" t="n"/>
      <c r="AJ21" s="82" t="n"/>
      <c r="AK21" s="82" t="n"/>
      <c r="AL21" s="78" t="n"/>
      <c r="AM21" s="78" t="n"/>
      <c r="AN21" s="78" t="n"/>
      <c r="AO21" s="78" t="n"/>
      <c r="AP21" s="81" t="n"/>
      <c r="AQ21" s="77" t="n"/>
      <c r="AR21" s="78" t="n"/>
      <c r="AS21" s="78" t="n"/>
      <c r="AT21" s="78" t="n"/>
      <c r="AU21" s="78" t="n"/>
      <c r="AV21" s="83" t="n"/>
      <c r="AW21" s="83" t="n"/>
      <c r="AX21" s="83" t="n"/>
      <c r="AY21" s="83" t="n"/>
      <c r="AZ21" s="83" t="n"/>
      <c r="BA21" s="78" t="n"/>
      <c r="BB21" s="78" t="n"/>
      <c r="BC21" s="78" t="n"/>
      <c r="BD21" s="78" t="n"/>
      <c r="BE21" s="81" t="n"/>
      <c r="BF21" s="77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81" t="n"/>
      <c r="BU21" s="38" t="n"/>
      <c r="BV21" s="39" t="n"/>
    </row>
    <row r="22" ht="23.1" customHeight="1" s="240">
      <c r="B22" s="194" t="inlineStr">
        <is>
          <t>4</t>
        </is>
      </c>
      <c r="C22" s="195" t="inlineStr">
        <is>
          <t>HU-24: Múltiples Imágenes por Cultivo (8h)</t>
        </is>
      </c>
      <c r="D22" s="196" t="n"/>
      <c r="E22" s="197">
        <f>SUM(E23:E25)</f>
        <v/>
      </c>
      <c r="F22" s="198">
        <f>SUM(F23:F25)</f>
        <v/>
      </c>
      <c r="G22" s="199">
        <f>SUM(G23:G25)</f>
        <v/>
      </c>
      <c r="H22" s="200" t="n"/>
      <c r="I22" s="206" t="n">
        <v>46303</v>
      </c>
      <c r="J22" s="206" t="n">
        <v>46309</v>
      </c>
      <c r="K22" s="207">
        <f>J22-I22+1</f>
        <v/>
      </c>
      <c r="L22" s="201">
        <f>IFERROR(F22/E22,"")</f>
        <v/>
      </c>
      <c r="M22" s="73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5" t="n"/>
      <c r="AB22" s="73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5" t="n"/>
      <c r="AQ22" s="73" t="n"/>
      <c r="AR22" s="74" t="n"/>
      <c r="AS22" s="74" t="n"/>
      <c r="AT22" s="74" t="n"/>
      <c r="AU22" s="74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74" t="n"/>
      <c r="BE22" s="75" t="n"/>
      <c r="BF22" s="73" t="n"/>
      <c r="BG22" s="74" t="n"/>
      <c r="BH22" s="74" t="n"/>
      <c r="BI22" s="74" t="n"/>
      <c r="BJ22" s="74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81" t="n"/>
      <c r="BU22" s="38" t="n"/>
      <c r="BV22" s="39" t="n"/>
    </row>
    <row r="23" ht="23.1" customHeight="1" s="240">
      <c r="B23" s="150" t="inlineStr">
        <is>
          <t>4.1</t>
        </is>
      </c>
      <c r="C23" t="inlineStr">
        <is>
          <t>Permitir carga simultánea de varias imágenes.</t>
        </is>
      </c>
      <c r="D23" s="152" t="inlineStr">
        <is>
          <t>Alejandro</t>
        </is>
      </c>
      <c r="E23" s="153" t="n">
        <v>4</v>
      </c>
      <c r="F23" s="154" t="n">
        <v>4</v>
      </c>
      <c r="G23" s="155">
        <f>E23-F23</f>
        <v/>
      </c>
      <c r="H23" s="156" t="n"/>
      <c r="I23" s="157" t="n"/>
      <c r="J23" s="158" t="n"/>
      <c r="K23" s="213" t="n"/>
      <c r="L23" s="201">
        <f>IFERROR(F23/E23,"")</f>
        <v/>
      </c>
      <c r="M23" s="77" t="n"/>
      <c r="N23" s="78" t="n"/>
      <c r="O23" s="78" t="n"/>
      <c r="P23" s="78" t="n"/>
      <c r="Q23" s="78" t="n"/>
      <c r="R23" s="80" t="n"/>
      <c r="S23" s="80" t="n"/>
      <c r="T23" s="80" t="n"/>
      <c r="U23" s="80" t="n"/>
      <c r="V23" s="80" t="n"/>
      <c r="W23" s="78" t="n"/>
      <c r="X23" s="78" t="n"/>
      <c r="Y23" s="78" t="n"/>
      <c r="Z23" s="78" t="n"/>
      <c r="AA23" s="81" t="n"/>
      <c r="AB23" s="77" t="n"/>
      <c r="AC23" s="78" t="n"/>
      <c r="AD23" s="78" t="n"/>
      <c r="AE23" s="78" t="n"/>
      <c r="AF23" s="78" t="n"/>
      <c r="AG23" s="82" t="n"/>
      <c r="AH23" s="82" t="n"/>
      <c r="AI23" s="82" t="n"/>
      <c r="AJ23" s="82" t="n"/>
      <c r="AK23" s="82" t="n"/>
      <c r="AL23" s="78" t="n"/>
      <c r="AM23" s="78" t="n"/>
      <c r="AN23" s="78" t="n"/>
      <c r="AO23" s="78" t="n"/>
      <c r="AP23" s="81" t="n"/>
      <c r="AQ23" s="77" t="n"/>
      <c r="AR23" s="78" t="n"/>
      <c r="AS23" s="78" t="n"/>
      <c r="AT23" s="78" t="n"/>
      <c r="AU23" s="78" t="n"/>
      <c r="AV23" s="83" t="n"/>
      <c r="AW23" s="83" t="n"/>
      <c r="AX23" s="83" t="n"/>
      <c r="AY23" s="83" t="n"/>
      <c r="AZ23" s="83" t="n"/>
      <c r="BA23" s="78" t="n"/>
      <c r="BB23" s="78" t="n"/>
      <c r="BC23" s="78" t="n"/>
      <c r="BD23" s="78" t="n"/>
      <c r="BE23" s="81" t="n"/>
      <c r="BF23" s="77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81" t="n"/>
      <c r="BU23" s="38" t="n"/>
      <c r="BV23" s="39" t="n"/>
    </row>
    <row r="24" ht="23.1" customHeight="1" s="240">
      <c r="B24" s="150" t="inlineStr">
        <is>
          <t>4.2</t>
        </is>
      </c>
      <c r="C24" t="inlineStr">
        <is>
          <t>Analizar todas las imágenes antes de emitir diagnóstico final.</t>
        </is>
      </c>
      <c r="D24" s="152" t="inlineStr">
        <is>
          <t>Alejandro</t>
        </is>
      </c>
      <c r="E24" s="153" t="n">
        <v>3</v>
      </c>
      <c r="F24" s="154" t="n">
        <v>3</v>
      </c>
      <c r="G24" s="155">
        <f>E24-F24</f>
        <v/>
      </c>
      <c r="H24" s="156" t="n"/>
      <c r="I24" s="157" t="n"/>
      <c r="J24" s="158" t="n"/>
      <c r="K24" s="213" t="n"/>
      <c r="L24" s="201">
        <f>IFERROR(F24/E24,"")</f>
        <v/>
      </c>
      <c r="M24" s="77" t="n"/>
      <c r="N24" s="78" t="n"/>
      <c r="O24" s="78" t="n"/>
      <c r="P24" s="78" t="n"/>
      <c r="Q24" s="78" t="n"/>
      <c r="R24" s="80" t="n"/>
      <c r="S24" s="80" t="n"/>
      <c r="T24" s="80" t="n"/>
      <c r="U24" s="80" t="n"/>
      <c r="V24" s="80" t="n"/>
      <c r="W24" s="78" t="n"/>
      <c r="X24" s="78" t="n"/>
      <c r="Y24" s="78" t="n"/>
      <c r="Z24" s="78" t="n"/>
      <c r="AA24" s="81" t="n"/>
      <c r="AB24" s="77" t="n"/>
      <c r="AC24" s="78" t="n"/>
      <c r="AD24" s="78" t="n"/>
      <c r="AE24" s="78" t="n"/>
      <c r="AF24" s="78" t="n"/>
      <c r="AG24" s="82" t="n"/>
      <c r="AH24" s="82" t="n"/>
      <c r="AI24" s="82" t="n"/>
      <c r="AJ24" s="82" t="n"/>
      <c r="AK24" s="82" t="n"/>
      <c r="AL24" s="78" t="n"/>
      <c r="AM24" s="78" t="n"/>
      <c r="AN24" s="78" t="n"/>
      <c r="AO24" s="78" t="n"/>
      <c r="AP24" s="81" t="n"/>
      <c r="AQ24" s="77" t="n"/>
      <c r="AR24" s="78" t="n"/>
      <c r="AS24" s="78" t="n"/>
      <c r="AT24" s="78" t="n"/>
      <c r="AU24" s="78" t="n"/>
      <c r="AV24" s="83" t="n"/>
      <c r="AW24" s="83" t="n"/>
      <c r="AX24" s="83" t="n"/>
      <c r="AY24" s="83" t="n"/>
      <c r="AZ24" s="83" t="n"/>
      <c r="BA24" s="78" t="n"/>
      <c r="BB24" s="78" t="n"/>
      <c r="BC24" s="78" t="n"/>
      <c r="BD24" s="78" t="n"/>
      <c r="BE24" s="81" t="n"/>
      <c r="BF24" s="77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81" t="n"/>
      <c r="BU24" s="38" t="n"/>
      <c r="BV24" s="39" t="n"/>
    </row>
    <row r="25" ht="23.1" customHeight="1" s="240">
      <c r="B25" s="150" t="inlineStr">
        <is>
          <t>4.3</t>
        </is>
      </c>
      <c r="C25" t="inlineStr">
        <is>
          <t>Mostrar resultado consolidado con promedio de confianza.</t>
        </is>
      </c>
      <c r="D25" s="152" t="inlineStr">
        <is>
          <t>Alejandro</t>
        </is>
      </c>
      <c r="E25" s="153" t="n">
        <v>1</v>
      </c>
      <c r="F25" s="154" t="n">
        <v>1</v>
      </c>
      <c r="G25" s="155">
        <f>E25-F25</f>
        <v/>
      </c>
      <c r="H25" s="156" t="n"/>
      <c r="I25" s="157" t="n"/>
      <c r="J25" s="158" t="n"/>
      <c r="K25" s="213" t="n"/>
      <c r="L25" s="201">
        <f>IFERROR(F25/E25,"")</f>
        <v/>
      </c>
      <c r="M25" s="77" t="n"/>
      <c r="N25" s="78" t="n"/>
      <c r="O25" s="78" t="n"/>
      <c r="P25" s="78" t="n"/>
      <c r="Q25" s="78" t="n"/>
      <c r="R25" s="80" t="n"/>
      <c r="S25" s="80" t="n"/>
      <c r="T25" s="80" t="n"/>
      <c r="U25" s="80" t="n"/>
      <c r="V25" s="80" t="n"/>
      <c r="W25" s="78" t="n"/>
      <c r="X25" s="78" t="n"/>
      <c r="Y25" s="78" t="n"/>
      <c r="Z25" s="78" t="n"/>
      <c r="AA25" s="81" t="n"/>
      <c r="AB25" s="77" t="n"/>
      <c r="AC25" s="78" t="n"/>
      <c r="AD25" s="78" t="n"/>
      <c r="AE25" s="78" t="n"/>
      <c r="AF25" s="78" t="n"/>
      <c r="AG25" s="82" t="n"/>
      <c r="AH25" s="82" t="n"/>
      <c r="AI25" s="82" t="n"/>
      <c r="AJ25" s="82" t="n"/>
      <c r="AK25" s="82" t="n"/>
      <c r="AL25" s="78" t="n"/>
      <c r="AM25" s="78" t="n"/>
      <c r="AN25" s="78" t="n"/>
      <c r="AO25" s="78" t="n"/>
      <c r="AP25" s="81" t="n"/>
      <c r="AQ25" s="77" t="n"/>
      <c r="AR25" s="78" t="n"/>
      <c r="AS25" s="78" t="n"/>
      <c r="AT25" s="78" t="n"/>
      <c r="AU25" s="78" t="n"/>
      <c r="AV25" s="83" t="n"/>
      <c r="AW25" s="83" t="n"/>
      <c r="AX25" s="83" t="n"/>
      <c r="AY25" s="83" t="n"/>
      <c r="AZ25" s="83" t="n"/>
      <c r="BA25" s="78" t="n"/>
      <c r="BB25" s="78" t="n"/>
      <c r="BC25" s="78" t="n"/>
      <c r="BD25" s="78" t="n"/>
      <c r="BE25" s="81" t="n"/>
      <c r="BF25" s="77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81" t="n"/>
      <c r="BU25" s="38" t="n"/>
      <c r="BV25" s="39" t="n"/>
    </row>
    <row r="26" ht="23.1" customHeight="1" s="240">
      <c r="B26" s="194" t="inlineStr">
        <is>
          <t>5</t>
        </is>
      </c>
      <c r="C26" s="195" t="inlineStr">
        <is>
          <t>HU-26: Alertas Tempranas (8h)</t>
        </is>
      </c>
      <c r="D26" s="196" t="n"/>
      <c r="E26" s="197">
        <f>SUM(E27:E29)</f>
        <v/>
      </c>
      <c r="F26" s="198">
        <f>SUM(F27:F29)</f>
        <v/>
      </c>
      <c r="G26" s="199">
        <f>SUM(G27:G29)</f>
        <v/>
      </c>
      <c r="H26" s="200" t="n"/>
      <c r="I26" s="206" t="n">
        <v>46303</v>
      </c>
      <c r="J26" s="206" t="n">
        <v>46309</v>
      </c>
      <c r="K26" s="207">
        <f>J26-I26+1</f>
        <v/>
      </c>
      <c r="L26" s="201">
        <f>IFERROR(F26/E26,"")</f>
        <v/>
      </c>
      <c r="M26" s="73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5" t="n"/>
      <c r="AB26" s="73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5" t="n"/>
      <c r="AQ26" s="73" t="n"/>
      <c r="AR26" s="74" t="n"/>
      <c r="AS26" s="74" t="n"/>
      <c r="AT26" s="74" t="n"/>
      <c r="AU26" s="74" t="n"/>
      <c r="AV26" s="74" t="n"/>
      <c r="AW26" s="74" t="n"/>
      <c r="AX26" s="74" t="n"/>
      <c r="AY26" s="74" t="n"/>
      <c r="AZ26" s="74" t="n"/>
      <c r="BA26" s="74" t="n"/>
      <c r="BB26" s="74" t="n"/>
      <c r="BC26" s="74" t="n"/>
      <c r="BD26" s="74" t="n"/>
      <c r="BE26" s="75" t="n"/>
      <c r="BF26" s="73" t="n"/>
      <c r="BG26" s="74" t="n"/>
      <c r="BH26" s="74" t="n"/>
      <c r="BI26" s="74" t="n"/>
      <c r="BJ26" s="74" t="n"/>
      <c r="BK26" s="191" t="n"/>
      <c r="BL26" s="191" t="n"/>
      <c r="BM26" s="191" t="n"/>
      <c r="BN26" s="191" t="n"/>
      <c r="BO26" s="191" t="n"/>
      <c r="BP26" s="191" t="n"/>
      <c r="BQ26" s="191" t="n"/>
      <c r="BR26" s="191" t="n"/>
      <c r="BS26" s="191" t="n"/>
      <c r="BT26" s="192" t="n"/>
      <c r="BU26" s="38" t="n"/>
      <c r="BV26" s="39" t="n"/>
    </row>
    <row r="27" ht="23.1" customHeight="1" s="240">
      <c r="B27" s="150" t="inlineStr">
        <is>
          <t>5.1</t>
        </is>
      </c>
      <c r="C27" t="inlineStr">
        <is>
          <t>Configurar reglas para detectar patrones de brotes.</t>
        </is>
      </c>
      <c r="D27" s="152" t="inlineStr">
        <is>
          <t>Alejandro</t>
        </is>
      </c>
      <c r="E27" s="153" t="n">
        <v>4</v>
      </c>
      <c r="F27" s="154" t="n">
        <v>4</v>
      </c>
      <c r="G27" s="155">
        <f>E27-F27</f>
        <v/>
      </c>
      <c r="H27" s="212" t="n"/>
      <c r="I27" s="157" t="n"/>
      <c r="J27" s="158" t="n"/>
      <c r="K27" s="213" t="n"/>
      <c r="L27" s="201">
        <f>IFERROR(F27/E27,"")</f>
        <v/>
      </c>
      <c r="M27" s="73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5" t="n"/>
      <c r="AB27" s="73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5" t="n"/>
      <c r="AQ27" s="73" t="n"/>
      <c r="AR27" s="74" t="n"/>
      <c r="AS27" s="74" t="n"/>
      <c r="AT27" s="74" t="n"/>
      <c r="AU27" s="74" t="n"/>
      <c r="AV27" s="74" t="n"/>
      <c r="AW27" s="74" t="n"/>
      <c r="AX27" s="74" t="n"/>
      <c r="AY27" s="74" t="n"/>
      <c r="AZ27" s="74" t="n"/>
      <c r="BA27" s="74" t="n"/>
      <c r="BB27" s="74" t="n"/>
      <c r="BC27" s="74" t="n"/>
      <c r="BD27" s="74" t="n"/>
      <c r="BE27" s="75" t="n"/>
      <c r="BF27" s="73" t="n"/>
      <c r="BG27" s="74" t="n"/>
      <c r="BH27" s="74" t="n"/>
      <c r="BI27" s="74" t="n"/>
      <c r="BJ27" s="74" t="n"/>
      <c r="BK27" s="191" t="n"/>
      <c r="BL27" s="191" t="n"/>
      <c r="BM27" s="191" t="n"/>
      <c r="BN27" s="191" t="n"/>
      <c r="BO27" s="191" t="n"/>
      <c r="BP27" s="191" t="n"/>
      <c r="BQ27" s="191" t="n"/>
      <c r="BR27" s="191" t="n"/>
      <c r="BS27" s="191" t="n"/>
      <c r="BT27" s="192" t="n"/>
      <c r="BU27" s="38" t="n"/>
      <c r="BV27" s="39" t="n"/>
    </row>
    <row r="28" ht="23.1" customHeight="1" s="240">
      <c r="B28" s="150" t="inlineStr">
        <is>
          <t>5.2</t>
        </is>
      </c>
      <c r="C28" t="inlineStr">
        <is>
          <t>Generar alertas visuales cuando haya recurrencia en una zona.</t>
        </is>
      </c>
      <c r="D28" s="152" t="inlineStr">
        <is>
          <t>Alejandro</t>
        </is>
      </c>
      <c r="E28" s="153" t="n">
        <v>3</v>
      </c>
      <c r="F28" s="154" t="n">
        <v>3</v>
      </c>
      <c r="G28" s="155">
        <f>E28-F28</f>
        <v/>
      </c>
      <c r="H28" s="212" t="n"/>
      <c r="I28" s="157" t="n"/>
      <c r="J28" s="158" t="n"/>
      <c r="K28" s="213" t="n"/>
      <c r="L28" s="201">
        <f>IFERROR(F28/E28,"")</f>
        <v/>
      </c>
      <c r="M28" s="73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5" t="n"/>
      <c r="AB28" s="73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5" t="n"/>
      <c r="AQ28" s="73" t="n"/>
      <c r="AR28" s="74" t="n"/>
      <c r="AS28" s="74" t="n"/>
      <c r="AT28" s="74" t="n"/>
      <c r="AU28" s="74" t="n"/>
      <c r="AV28" s="74" t="n"/>
      <c r="AW28" s="74" t="n"/>
      <c r="AX28" s="74" t="n"/>
      <c r="AY28" s="74" t="n"/>
      <c r="AZ28" s="74" t="n"/>
      <c r="BA28" s="74" t="n"/>
      <c r="BB28" s="74" t="n"/>
      <c r="BC28" s="74" t="n"/>
      <c r="BD28" s="74" t="n"/>
      <c r="BE28" s="75" t="n"/>
      <c r="BF28" s="73" t="n"/>
      <c r="BG28" s="74" t="n"/>
      <c r="BH28" s="74" t="n"/>
      <c r="BI28" s="74" t="n"/>
      <c r="BJ28" s="74" t="n"/>
      <c r="BK28" s="191" t="n"/>
      <c r="BL28" s="191" t="n"/>
      <c r="BM28" s="191" t="n"/>
      <c r="BN28" s="191" t="n"/>
      <c r="BO28" s="191" t="n"/>
      <c r="BP28" s="191" t="n"/>
      <c r="BQ28" s="191" t="n"/>
      <c r="BR28" s="191" t="n"/>
      <c r="BS28" s="191" t="n"/>
      <c r="BT28" s="192" t="n"/>
      <c r="BU28" s="38" t="n"/>
      <c r="BV28" s="39" t="n"/>
    </row>
    <row r="29" ht="23.1" customHeight="1" s="240">
      <c r="B29" s="150" t="inlineStr">
        <is>
          <t>5.3</t>
        </is>
      </c>
      <c r="C29" t="inlineStr">
        <is>
          <t>Mostrar resumen de alertas en la interfaz web.</t>
        </is>
      </c>
      <c r="D29" s="152" t="inlineStr">
        <is>
          <t>Alejandro</t>
        </is>
      </c>
      <c r="E29" s="153" t="n">
        <v>1</v>
      </c>
      <c r="F29" s="154" t="n">
        <v>1</v>
      </c>
      <c r="G29" s="155">
        <f>E29-F29</f>
        <v/>
      </c>
      <c r="H29" s="212" t="n"/>
      <c r="I29" s="157" t="n"/>
      <c r="J29" s="158" t="n"/>
      <c r="K29" s="213" t="n"/>
      <c r="L29" s="201">
        <f>IFERROR(F29/E29,"")</f>
        <v/>
      </c>
      <c r="M29" s="73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  <c r="AA29" s="75" t="n"/>
      <c r="AB29" s="73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5" t="n"/>
      <c r="AQ29" s="73" t="n"/>
      <c r="AR29" s="74" t="n"/>
      <c r="AS29" s="74" t="n"/>
      <c r="AT29" s="74" t="n"/>
      <c r="AU29" s="74" t="n"/>
      <c r="AV29" s="74" t="n"/>
      <c r="AW29" s="74" t="n"/>
      <c r="AX29" s="74" t="n"/>
      <c r="AY29" s="74" t="n"/>
      <c r="AZ29" s="74" t="n"/>
      <c r="BA29" s="74" t="n"/>
      <c r="BB29" s="74" t="n"/>
      <c r="BC29" s="74" t="n"/>
      <c r="BD29" s="74" t="n"/>
      <c r="BE29" s="75" t="n"/>
      <c r="BF29" s="73" t="n"/>
      <c r="BG29" s="74" t="n"/>
      <c r="BH29" s="74" t="n"/>
      <c r="BI29" s="74" t="n"/>
      <c r="BJ29" s="74" t="n"/>
      <c r="BK29" s="191" t="n"/>
      <c r="BL29" s="191" t="n"/>
      <c r="BM29" s="191" t="n"/>
      <c r="BN29" s="191" t="n"/>
      <c r="BO29" s="191" t="n"/>
      <c r="BP29" s="191" t="n"/>
      <c r="BQ29" s="191" t="n"/>
      <c r="BR29" s="191" t="n"/>
      <c r="BS29" s="191" t="n"/>
      <c r="BT29" s="192" t="n"/>
      <c r="BU29" s="38" t="n"/>
      <c r="BV29" s="39" t="n"/>
    </row>
    <row r="30" ht="23.1" customHeight="1" s="240">
      <c r="B30" s="194" t="inlineStr">
        <is>
          <t>6</t>
        </is>
      </c>
      <c r="C30" s="195" t="inlineStr">
        <is>
          <t>HU-19: Clasificación de Severidad (8h)</t>
        </is>
      </c>
      <c r="D30" s="196" t="n"/>
      <c r="E30" s="197">
        <f>SUM(E31:E33)</f>
        <v/>
      </c>
      <c r="F30" s="198">
        <f>SUM(F31:F33)</f>
        <v/>
      </c>
      <c r="G30" s="199">
        <f>SUM(G31:G33)</f>
        <v/>
      </c>
      <c r="H30" s="200" t="n"/>
      <c r="I30" s="206" t="n">
        <v>46303</v>
      </c>
      <c r="J30" s="206" t="n">
        <v>46309</v>
      </c>
      <c r="K30" s="207">
        <f>J30-I30+1</f>
        <v/>
      </c>
      <c r="L30" s="201">
        <f>IFERROR(F30/E30,"")</f>
        <v/>
      </c>
      <c r="M30" s="73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5" t="n"/>
      <c r="AB30" s="73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5" t="n"/>
      <c r="AQ30" s="73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5" t="n"/>
      <c r="BF30" s="73" t="n"/>
      <c r="BG30" s="74" t="n"/>
      <c r="BH30" s="74" t="n"/>
      <c r="BI30" s="74" t="n"/>
      <c r="BJ30" s="74" t="n"/>
      <c r="BK30" s="191" t="n"/>
      <c r="BL30" s="191" t="n"/>
      <c r="BM30" s="191" t="n"/>
      <c r="BN30" s="191" t="n"/>
      <c r="BO30" s="191" t="n"/>
      <c r="BP30" s="191" t="n"/>
      <c r="BQ30" s="191" t="n"/>
      <c r="BR30" s="191" t="n"/>
      <c r="BS30" s="191" t="n"/>
      <c r="BT30" s="192" t="n"/>
      <c r="BU30" s="38" t="n"/>
      <c r="BV30" s="39" t="n"/>
    </row>
    <row r="31" ht="23.1" customHeight="1" s="240">
      <c r="B31" s="150" t="inlineStr">
        <is>
          <t>6.1</t>
        </is>
      </c>
      <c r="C31" t="inlineStr">
        <is>
          <t>Añadir etiquetas de severidad (leve, moderada, grave) en dataset.</t>
        </is>
      </c>
      <c r="D31" s="152" t="inlineStr">
        <is>
          <t>Alejandro</t>
        </is>
      </c>
      <c r="E31" s="153" t="n">
        <v>4</v>
      </c>
      <c r="F31" s="154" t="n">
        <v>4</v>
      </c>
      <c r="G31" s="155">
        <f>E31-F31</f>
        <v/>
      </c>
      <c r="H31" s="212" t="n"/>
      <c r="I31" s="235" t="n"/>
      <c r="J31" s="235" t="n"/>
      <c r="K31" s="236" t="n"/>
      <c r="L31" s="201">
        <f>IFERROR(F31/E31,"")</f>
        <v/>
      </c>
      <c r="M31" s="73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5" t="n"/>
      <c r="AB31" s="73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5" t="n"/>
      <c r="AQ31" s="73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5" t="n"/>
      <c r="BF31" s="73" t="n"/>
      <c r="BG31" s="74" t="n"/>
      <c r="BH31" s="74" t="n"/>
      <c r="BI31" s="74" t="n"/>
      <c r="BJ31" s="74" t="n"/>
      <c r="BK31" s="191" t="n"/>
      <c r="BL31" s="191" t="n"/>
      <c r="BM31" s="191" t="n"/>
      <c r="BN31" s="191" t="n"/>
      <c r="BO31" s="191" t="n"/>
      <c r="BP31" s="191" t="n"/>
      <c r="BQ31" s="191" t="n"/>
      <c r="BR31" s="191" t="n"/>
      <c r="BS31" s="191" t="n"/>
      <c r="BT31" s="192" t="n"/>
      <c r="BU31" s="38" t="n"/>
      <c r="BV31" s="39" t="n"/>
    </row>
    <row r="32" ht="23.1" customHeight="1" s="240">
      <c r="B32" s="150" t="inlineStr">
        <is>
          <t>6.2</t>
        </is>
      </c>
      <c r="C32" t="inlineStr">
        <is>
          <t>Ajustar el modelo CNN para salida multiclase de severidad.</t>
        </is>
      </c>
      <c r="D32" s="152" t="inlineStr">
        <is>
          <t>Alejandro</t>
        </is>
      </c>
      <c r="E32" s="153" t="n">
        <v>3</v>
      </c>
      <c r="F32" s="154" t="n">
        <v>3</v>
      </c>
      <c r="G32" s="155">
        <f>E32-F32</f>
        <v/>
      </c>
      <c r="H32" s="212" t="n"/>
      <c r="I32" s="235" t="n"/>
      <c r="J32" s="235" t="n"/>
      <c r="K32" s="236" t="n"/>
      <c r="L32" s="201">
        <f>IFERROR(F32/E32,"")</f>
        <v/>
      </c>
      <c r="M32" s="73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5" t="n"/>
      <c r="AB32" s="73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5" t="n"/>
      <c r="AQ32" s="73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5" t="n"/>
      <c r="BF32" s="73" t="n"/>
      <c r="BG32" s="74" t="n"/>
      <c r="BH32" s="74" t="n"/>
      <c r="BI32" s="74" t="n"/>
      <c r="BJ32" s="74" t="n"/>
      <c r="BK32" s="191" t="n"/>
      <c r="BL32" s="191" t="n"/>
      <c r="BM32" s="191" t="n"/>
      <c r="BN32" s="191" t="n"/>
      <c r="BO32" s="191" t="n"/>
      <c r="BP32" s="191" t="n"/>
      <c r="BQ32" s="191" t="n"/>
      <c r="BR32" s="191" t="n"/>
      <c r="BS32" s="191" t="n"/>
      <c r="BT32" s="192" t="n"/>
      <c r="BU32" s="38" t="n"/>
      <c r="BV32" s="39" t="n"/>
    </row>
    <row r="33" ht="23.1" customHeight="1" s="240">
      <c r="B33" s="150" t="inlineStr">
        <is>
          <t>6.3</t>
        </is>
      </c>
      <c r="C33" t="inlineStr">
        <is>
          <t>Mostrar nivel de severidad junto con diagnóstico.</t>
        </is>
      </c>
      <c r="D33" s="152" t="inlineStr">
        <is>
          <t>Alejandro</t>
        </is>
      </c>
      <c r="E33" s="153" t="n">
        <v>1</v>
      </c>
      <c r="F33" s="154" t="n">
        <v>1</v>
      </c>
      <c r="G33" s="155">
        <f>E33-F33</f>
        <v/>
      </c>
      <c r="H33" s="212" t="n"/>
      <c r="I33" s="235" t="n"/>
      <c r="J33" s="235" t="n"/>
      <c r="K33" s="236" t="n"/>
      <c r="L33" s="201">
        <f>IFERROR(F33/E33,"")</f>
        <v/>
      </c>
      <c r="M33" s="73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5" t="n"/>
      <c r="AB33" s="73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5" t="n"/>
      <c r="AQ33" s="73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5" t="n"/>
      <c r="BF33" s="73" t="n"/>
      <c r="BG33" s="74" t="n"/>
      <c r="BH33" s="74" t="n"/>
      <c r="BI33" s="74" t="n"/>
      <c r="BJ33" s="74" t="n"/>
      <c r="BK33" s="191" t="n"/>
      <c r="BL33" s="191" t="n"/>
      <c r="BM33" s="191" t="n"/>
      <c r="BN33" s="191" t="n"/>
      <c r="BO33" s="191" t="n"/>
      <c r="BP33" s="191" t="n"/>
      <c r="BQ33" s="191" t="n"/>
      <c r="BR33" s="191" t="n"/>
      <c r="BS33" s="191" t="n"/>
      <c r="BT33" s="192" t="n"/>
      <c r="BU33" s="38" t="n"/>
      <c r="BV33" s="39" t="n"/>
    </row>
    <row r="34" ht="23.1" customHeight="1" s="240">
      <c r="B34" s="194" t="inlineStr">
        <is>
          <t>7</t>
        </is>
      </c>
      <c r="C34" s="195" t="inlineStr">
        <is>
          <t>HU-22: Retroalimentación del Usuario (4h)</t>
        </is>
      </c>
      <c r="D34" s="196" t="n"/>
      <c r="E34" s="197">
        <f>SUM(E35:E37)</f>
        <v/>
      </c>
      <c r="F34" s="198">
        <f>SUM(F35:F37)</f>
        <v/>
      </c>
      <c r="G34" s="199">
        <f>SUM(G35:G37)</f>
        <v/>
      </c>
      <c r="H34" s="200" t="n"/>
      <c r="I34" s="206" t="n">
        <v>46303</v>
      </c>
      <c r="J34" s="206" t="n">
        <v>46309</v>
      </c>
      <c r="K34" s="207">
        <f>J34-I34+1</f>
        <v/>
      </c>
      <c r="L34" s="201">
        <f>IFERROR(F34/E34,"")</f>
        <v/>
      </c>
      <c r="M34" s="73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5" t="n"/>
      <c r="AB34" s="73" t="n"/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75" t="n"/>
      <c r="AQ34" s="73" t="n"/>
      <c r="AR34" s="74" t="n"/>
      <c r="AS34" s="74" t="n"/>
      <c r="AT34" s="74" t="n"/>
      <c r="AU34" s="74" t="n"/>
      <c r="AV34" s="74" t="n"/>
      <c r="AW34" s="74" t="n"/>
      <c r="AX34" s="74" t="n"/>
      <c r="AY34" s="74" t="n"/>
      <c r="AZ34" s="74" t="n"/>
      <c r="BA34" s="74" t="n"/>
      <c r="BB34" s="74" t="n"/>
      <c r="BC34" s="74" t="n"/>
      <c r="BD34" s="74" t="n"/>
      <c r="BE34" s="75" t="n"/>
      <c r="BF34" s="73" t="n"/>
      <c r="BG34" s="74" t="n"/>
      <c r="BH34" s="74" t="n"/>
      <c r="BI34" s="74" t="n"/>
      <c r="BJ34" s="74" t="n"/>
      <c r="BK34" s="191" t="n"/>
      <c r="BL34" s="191" t="n"/>
      <c r="BM34" s="191" t="n"/>
      <c r="BN34" s="191" t="n"/>
      <c r="BO34" s="191" t="n"/>
      <c r="BP34" s="191" t="n"/>
      <c r="BQ34" s="191" t="n"/>
      <c r="BR34" s="191" t="n"/>
      <c r="BS34" s="191" t="n"/>
      <c r="BT34" s="192" t="n"/>
      <c r="BU34" s="38" t="n"/>
      <c r="BV34" s="39" t="n"/>
    </row>
    <row r="35" ht="23.1" customHeight="1" s="240">
      <c r="B35" s="150" t="inlineStr">
        <is>
          <t>7.1</t>
        </is>
      </c>
      <c r="C35" t="inlineStr">
        <is>
          <t>Crear formulario para calificar precisión del diagnóstico.</t>
        </is>
      </c>
      <c r="D35" s="152" t="inlineStr">
        <is>
          <t>Andree</t>
        </is>
      </c>
      <c r="E35" s="153" t="n">
        <v>2</v>
      </c>
      <c r="F35" s="154" t="n">
        <v>2</v>
      </c>
      <c r="G35" s="155">
        <f>E35-F35</f>
        <v/>
      </c>
      <c r="H35" s="212" t="n"/>
      <c r="I35" s="235" t="n"/>
      <c r="J35" s="235" t="n"/>
      <c r="K35" s="236" t="n"/>
      <c r="L35" s="201">
        <f>IFERROR(F35/E35,"")</f>
        <v/>
      </c>
      <c r="M35" s="73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5" t="n"/>
      <c r="AB35" s="73" t="n"/>
      <c r="AC35" s="74" t="n"/>
      <c r="AD35" s="74" t="n"/>
      <c r="AE35" s="74" t="n"/>
      <c r="AF35" s="74" t="n"/>
      <c r="AG35" s="74" t="n"/>
      <c r="AH35" s="74" t="n"/>
      <c r="AI35" s="74" t="n"/>
      <c r="AJ35" s="74" t="n"/>
      <c r="AK35" s="74" t="n"/>
      <c r="AL35" s="74" t="n"/>
      <c r="AM35" s="74" t="n"/>
      <c r="AN35" s="74" t="n"/>
      <c r="AO35" s="74" t="n"/>
      <c r="AP35" s="75" t="n"/>
      <c r="AQ35" s="73" t="n"/>
      <c r="AR35" s="74" t="n"/>
      <c r="AS35" s="74" t="n"/>
      <c r="AT35" s="74" t="n"/>
      <c r="AU35" s="74" t="n"/>
      <c r="AV35" s="74" t="n"/>
      <c r="AW35" s="74" t="n"/>
      <c r="AX35" s="74" t="n"/>
      <c r="AY35" s="74" t="n"/>
      <c r="AZ35" s="74" t="n"/>
      <c r="BA35" s="74" t="n"/>
      <c r="BB35" s="74" t="n"/>
      <c r="BC35" s="74" t="n"/>
      <c r="BD35" s="74" t="n"/>
      <c r="BE35" s="75" t="n"/>
      <c r="BF35" s="73" t="n"/>
      <c r="BG35" s="74" t="n"/>
      <c r="BH35" s="74" t="n"/>
      <c r="BI35" s="74" t="n"/>
      <c r="BJ35" s="74" t="n"/>
      <c r="BK35" s="191" t="n"/>
      <c r="BL35" s="191" t="n"/>
      <c r="BM35" s="191" t="n"/>
      <c r="BN35" s="191" t="n"/>
      <c r="BO35" s="191" t="n"/>
      <c r="BP35" s="191" t="n"/>
      <c r="BQ35" s="191" t="n"/>
      <c r="BR35" s="191" t="n"/>
      <c r="BS35" s="191" t="n"/>
      <c r="BT35" s="192" t="n"/>
      <c r="BU35" s="38" t="n"/>
      <c r="BV35" s="39" t="n"/>
    </row>
    <row r="36" ht="23.1" customHeight="1" s="240">
      <c r="B36" s="150" t="inlineStr">
        <is>
          <t>7.2</t>
        </is>
      </c>
      <c r="C36" t="inlineStr">
        <is>
          <t>Guardar retroalimentación en la base de datos.</t>
        </is>
      </c>
      <c r="D36" s="152" t="inlineStr">
        <is>
          <t>Andree</t>
        </is>
      </c>
      <c r="E36" s="153" t="n">
        <v>1</v>
      </c>
      <c r="F36" s="154" t="n">
        <v>1</v>
      </c>
      <c r="G36" s="155">
        <f>E36-F36</f>
        <v/>
      </c>
      <c r="H36" s="212" t="n"/>
      <c r="I36" s="235" t="n"/>
      <c r="J36" s="235" t="n"/>
      <c r="K36" s="236" t="n"/>
      <c r="L36" s="201">
        <f>IFERROR(F36/E36,"")</f>
        <v/>
      </c>
      <c r="M36" s="73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5" t="n"/>
      <c r="AB36" s="73" t="n"/>
      <c r="AC36" s="74" t="n"/>
      <c r="AD36" s="74" t="n"/>
      <c r="AE36" s="74" t="n"/>
      <c r="AF36" s="74" t="n"/>
      <c r="AG36" s="74" t="n"/>
      <c r="AH36" s="74" t="n"/>
      <c r="AI36" s="74" t="n"/>
      <c r="AJ36" s="74" t="n"/>
      <c r="AK36" s="74" t="n"/>
      <c r="AL36" s="74" t="n"/>
      <c r="AM36" s="74" t="n"/>
      <c r="AN36" s="74" t="n"/>
      <c r="AO36" s="74" t="n"/>
      <c r="AP36" s="75" t="n"/>
      <c r="AQ36" s="73" t="n"/>
      <c r="AR36" s="74" t="n"/>
      <c r="AS36" s="74" t="n"/>
      <c r="AT36" s="74" t="n"/>
      <c r="AU36" s="74" t="n"/>
      <c r="AV36" s="74" t="n"/>
      <c r="AW36" s="74" t="n"/>
      <c r="AX36" s="74" t="n"/>
      <c r="AY36" s="74" t="n"/>
      <c r="AZ36" s="74" t="n"/>
      <c r="BA36" s="74" t="n"/>
      <c r="BB36" s="74" t="n"/>
      <c r="BC36" s="74" t="n"/>
      <c r="BD36" s="74" t="n"/>
      <c r="BE36" s="75" t="n"/>
      <c r="BF36" s="73" t="n"/>
      <c r="BG36" s="74" t="n"/>
      <c r="BH36" s="74" t="n"/>
      <c r="BI36" s="74" t="n"/>
      <c r="BJ36" s="74" t="n"/>
      <c r="BK36" s="191" t="n"/>
      <c r="BL36" s="191" t="n"/>
      <c r="BM36" s="191" t="n"/>
      <c r="BN36" s="191" t="n"/>
      <c r="BO36" s="191" t="n"/>
      <c r="BP36" s="191" t="n"/>
      <c r="BQ36" s="191" t="n"/>
      <c r="BR36" s="191" t="n"/>
      <c r="BS36" s="191" t="n"/>
      <c r="BT36" s="192" t="n"/>
      <c r="BU36" s="38" t="n"/>
      <c r="BV36" s="39" t="n"/>
    </row>
    <row r="37" ht="23.1" customHeight="1" s="240">
      <c r="B37" s="150" t="inlineStr">
        <is>
          <t>7.3</t>
        </is>
      </c>
      <c r="C37" t="inlineStr">
        <is>
          <t>Mostrar estadísticas básicas de satisfacción.</t>
        </is>
      </c>
      <c r="D37" s="152" t="inlineStr">
        <is>
          <t>Andree</t>
        </is>
      </c>
      <c r="E37" s="153" t="n">
        <v>1</v>
      </c>
      <c r="F37" s="154" t="n">
        <v>1</v>
      </c>
      <c r="G37" s="155">
        <f>E37-F37</f>
        <v/>
      </c>
      <c r="H37" s="212" t="n"/>
      <c r="I37" s="235" t="n"/>
      <c r="J37" s="235" t="n"/>
      <c r="K37" s="236" t="n"/>
      <c r="L37" s="201">
        <f>IFERROR(F37/E37,"")</f>
        <v/>
      </c>
      <c r="M37" s="73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5" t="n"/>
      <c r="AB37" s="73" t="n"/>
      <c r="AC37" s="74" t="n"/>
      <c r="AD37" s="74" t="n"/>
      <c r="AE37" s="74" t="n"/>
      <c r="AF37" s="74" t="n"/>
      <c r="AG37" s="74" t="n"/>
      <c r="AH37" s="74" t="n"/>
      <c r="AI37" s="74" t="n"/>
      <c r="AJ37" s="74" t="n"/>
      <c r="AK37" s="74" t="n"/>
      <c r="AL37" s="74" t="n"/>
      <c r="AM37" s="74" t="n"/>
      <c r="AN37" s="74" t="n"/>
      <c r="AO37" s="74" t="n"/>
      <c r="AP37" s="75" t="n"/>
      <c r="AQ37" s="73" t="n"/>
      <c r="AR37" s="74" t="n"/>
      <c r="AS37" s="74" t="n"/>
      <c r="AT37" s="74" t="n"/>
      <c r="AU37" s="74" t="n"/>
      <c r="AV37" s="74" t="n"/>
      <c r="AW37" s="74" t="n"/>
      <c r="AX37" s="74" t="n"/>
      <c r="AY37" s="74" t="n"/>
      <c r="AZ37" s="74" t="n"/>
      <c r="BA37" s="74" t="n"/>
      <c r="BB37" s="74" t="n"/>
      <c r="BC37" s="74" t="n"/>
      <c r="BD37" s="74" t="n"/>
      <c r="BE37" s="75" t="n"/>
      <c r="BF37" s="73" t="n"/>
      <c r="BG37" s="74" t="n"/>
      <c r="BH37" s="74" t="n"/>
      <c r="BI37" s="74" t="n"/>
      <c r="BJ37" s="74" t="n"/>
      <c r="BK37" s="191" t="n"/>
      <c r="BL37" s="191" t="n"/>
      <c r="BM37" s="191" t="n"/>
      <c r="BN37" s="191" t="n"/>
      <c r="BO37" s="191" t="n"/>
      <c r="BP37" s="191" t="n"/>
      <c r="BQ37" s="191" t="n"/>
      <c r="BR37" s="191" t="n"/>
      <c r="BS37" s="191" t="n"/>
      <c r="BT37" s="192" t="n"/>
      <c r="BU37" s="38" t="n"/>
      <c r="BV37" s="39" t="n"/>
    </row>
    <row r="38" ht="23.1" customHeight="1" s="240">
      <c r="B38" s="194" t="inlineStr">
        <is>
          <t>8</t>
        </is>
      </c>
      <c r="C38" s="195" t="inlineStr">
        <is>
          <t>HU-28: Backup Automático (4h)</t>
        </is>
      </c>
      <c r="D38" s="196" t="n"/>
      <c r="E38" s="197">
        <f>SUM(E39:E41)</f>
        <v/>
      </c>
      <c r="F38" s="198">
        <f>SUM(F39:F41)</f>
        <v/>
      </c>
      <c r="G38" s="199">
        <f>SUM(G39:G41)</f>
        <v/>
      </c>
      <c r="H38" s="200" t="n"/>
      <c r="I38" s="206" t="n">
        <v>46303</v>
      </c>
      <c r="J38" s="206" t="n">
        <v>46309</v>
      </c>
      <c r="K38" s="207">
        <f>J38-I38+1</f>
        <v/>
      </c>
      <c r="L38" s="201">
        <f>IFERROR(F38/E38,"")</f>
        <v/>
      </c>
      <c r="M38" s="73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5" t="n"/>
      <c r="AB38" s="73" t="n"/>
      <c r="AC38" s="74" t="n"/>
      <c r="AD38" s="74" t="n"/>
      <c r="AE38" s="74" t="n"/>
      <c r="AF38" s="74" t="n"/>
      <c r="AG38" s="74" t="n"/>
      <c r="AH38" s="74" t="n"/>
      <c r="AI38" s="74" t="n"/>
      <c r="AJ38" s="74" t="n"/>
      <c r="AK38" s="74" t="n"/>
      <c r="AL38" s="74" t="n"/>
      <c r="AM38" s="74" t="n"/>
      <c r="AN38" s="74" t="n"/>
      <c r="AO38" s="74" t="n"/>
      <c r="AP38" s="75" t="n"/>
      <c r="AQ38" s="73" t="n"/>
      <c r="AR38" s="74" t="n"/>
      <c r="AS38" s="74" t="n"/>
      <c r="AT38" s="74" t="n"/>
      <c r="AU38" s="74" t="n"/>
      <c r="AV38" s="74" t="n"/>
      <c r="AW38" s="74" t="n"/>
      <c r="AX38" s="74" t="n"/>
      <c r="AY38" s="74" t="n"/>
      <c r="AZ38" s="74" t="n"/>
      <c r="BA38" s="74" t="n"/>
      <c r="BB38" s="74" t="n"/>
      <c r="BC38" s="74" t="n"/>
      <c r="BD38" s="74" t="n"/>
      <c r="BE38" s="75" t="n"/>
      <c r="BF38" s="73" t="n"/>
      <c r="BG38" s="74" t="n"/>
      <c r="BH38" s="74" t="n"/>
      <c r="BI38" s="74" t="n"/>
      <c r="BJ38" s="74" t="n"/>
      <c r="BK38" s="191" t="n"/>
      <c r="BL38" s="191" t="n"/>
      <c r="BM38" s="191" t="n"/>
      <c r="BN38" s="191" t="n"/>
      <c r="BO38" s="191" t="n"/>
      <c r="BP38" s="191" t="n"/>
      <c r="BQ38" s="191" t="n"/>
      <c r="BR38" s="191" t="n"/>
      <c r="BS38" s="191" t="n"/>
      <c r="BT38" s="192" t="n"/>
      <c r="BU38" s="38" t="n"/>
      <c r="BV38" s="39" t="n"/>
    </row>
    <row r="39" ht="23.1" customHeight="1" s="240">
      <c r="B39" s="150" t="inlineStr">
        <is>
          <t>8.1</t>
        </is>
      </c>
      <c r="C39" t="inlineStr">
        <is>
          <t>Configurar tareas automáticas de respaldo de datos y modelo.</t>
        </is>
      </c>
      <c r="D39" s="152" t="inlineStr">
        <is>
          <t>Andree</t>
        </is>
      </c>
      <c r="E39" s="153" t="n">
        <v>2</v>
      </c>
      <c r="F39" s="154" t="n">
        <v>2</v>
      </c>
      <c r="G39" s="155">
        <f>E39-F39</f>
        <v/>
      </c>
      <c r="H39" s="212" t="n"/>
      <c r="I39" s="157" t="n"/>
      <c r="J39" s="158" t="n"/>
      <c r="K39" s="213" t="n"/>
      <c r="L39" s="201">
        <f>IFERROR(F39/E39,"")</f>
        <v/>
      </c>
      <c r="M39" s="73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5" t="n"/>
      <c r="AB39" s="73" t="n"/>
      <c r="AC39" s="74" t="n"/>
      <c r="AD39" s="74" t="n"/>
      <c r="AE39" s="74" t="n"/>
      <c r="AF39" s="74" t="n"/>
      <c r="AG39" s="74" t="n"/>
      <c r="AH39" s="74" t="n"/>
      <c r="AI39" s="74" t="n"/>
      <c r="AJ39" s="74" t="n"/>
      <c r="AK39" s="74" t="n"/>
      <c r="AL39" s="74" t="n"/>
      <c r="AM39" s="74" t="n"/>
      <c r="AN39" s="74" t="n"/>
      <c r="AO39" s="74" t="n"/>
      <c r="AP39" s="75" t="n"/>
      <c r="AQ39" s="73" t="n"/>
      <c r="AR39" s="74" t="n"/>
      <c r="AS39" s="74" t="n"/>
      <c r="AT39" s="74" t="n"/>
      <c r="AU39" s="74" t="n"/>
      <c r="AV39" s="74" t="n"/>
      <c r="AW39" s="74" t="n"/>
      <c r="AX39" s="74" t="n"/>
      <c r="AY39" s="74" t="n"/>
      <c r="AZ39" s="74" t="n"/>
      <c r="BA39" s="74" t="n"/>
      <c r="BB39" s="74" t="n"/>
      <c r="BC39" s="74" t="n"/>
      <c r="BD39" s="74" t="n"/>
      <c r="BE39" s="75" t="n"/>
      <c r="BF39" s="73" t="n"/>
      <c r="BG39" s="74" t="n"/>
      <c r="BH39" s="74" t="n"/>
      <c r="BI39" s="74" t="n"/>
      <c r="BJ39" s="74" t="n"/>
      <c r="BK39" s="191" t="n"/>
      <c r="BL39" s="191" t="n"/>
      <c r="BM39" s="191" t="n"/>
      <c r="BN39" s="191" t="n"/>
      <c r="BO39" s="191" t="n"/>
      <c r="BP39" s="191" t="n"/>
      <c r="BQ39" s="191" t="n"/>
      <c r="BR39" s="191" t="n"/>
      <c r="BS39" s="191" t="n"/>
      <c r="BT39" s="192" t="n"/>
      <c r="BU39" s="38" t="n"/>
      <c r="BV39" s="39" t="n"/>
    </row>
    <row r="40" ht="23.1" customHeight="1" s="240">
      <c r="B40" s="150" t="inlineStr">
        <is>
          <t>8.2</t>
        </is>
      </c>
      <c r="C40" t="inlineStr">
        <is>
          <t>Guardar copias en almacenamiento seguro (Drive o servidor).</t>
        </is>
      </c>
      <c r="D40" s="152" t="inlineStr">
        <is>
          <t>Andree</t>
        </is>
      </c>
      <c r="E40" s="153" t="n">
        <v>1</v>
      </c>
      <c r="F40" s="154" t="n">
        <v>1</v>
      </c>
      <c r="G40" s="155">
        <f>E40-F40</f>
        <v/>
      </c>
      <c r="H40" s="212" t="n"/>
      <c r="I40" s="157" t="n"/>
      <c r="J40" s="158" t="n"/>
      <c r="K40" s="213" t="n"/>
      <c r="L40" s="201">
        <f>IFERROR(F40/E40,"")</f>
        <v/>
      </c>
      <c r="M40" s="73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5" t="n"/>
      <c r="AB40" s="73" t="n"/>
      <c r="AC40" s="74" t="n"/>
      <c r="AD40" s="74" t="n"/>
      <c r="AE40" s="74" t="n"/>
      <c r="AF40" s="74" t="n"/>
      <c r="AG40" s="74" t="n"/>
      <c r="AH40" s="74" t="n"/>
      <c r="AI40" s="74" t="n"/>
      <c r="AJ40" s="74" t="n"/>
      <c r="AK40" s="74" t="n"/>
      <c r="AL40" s="74" t="n"/>
      <c r="AM40" s="74" t="n"/>
      <c r="AN40" s="74" t="n"/>
      <c r="AO40" s="74" t="n"/>
      <c r="AP40" s="75" t="n"/>
      <c r="AQ40" s="73" t="n"/>
      <c r="AR40" s="74" t="n"/>
      <c r="AS40" s="74" t="n"/>
      <c r="AT40" s="74" t="n"/>
      <c r="AU40" s="74" t="n"/>
      <c r="AV40" s="74" t="n"/>
      <c r="AW40" s="74" t="n"/>
      <c r="AX40" s="74" t="n"/>
      <c r="AY40" s="74" t="n"/>
      <c r="AZ40" s="74" t="n"/>
      <c r="BA40" s="74" t="n"/>
      <c r="BB40" s="74" t="n"/>
      <c r="BC40" s="74" t="n"/>
      <c r="BD40" s="74" t="n"/>
      <c r="BE40" s="75" t="n"/>
      <c r="BF40" s="73" t="n"/>
      <c r="BG40" s="74" t="n"/>
      <c r="BH40" s="74" t="n"/>
      <c r="BI40" s="74" t="n"/>
      <c r="BJ40" s="74" t="n"/>
      <c r="BK40" s="191" t="n"/>
      <c r="BL40" s="191" t="n"/>
      <c r="BM40" s="191" t="n"/>
      <c r="BN40" s="191" t="n"/>
      <c r="BO40" s="191" t="n"/>
      <c r="BP40" s="191" t="n"/>
      <c r="BQ40" s="191" t="n"/>
      <c r="BR40" s="191" t="n"/>
      <c r="BS40" s="191" t="n"/>
      <c r="BT40" s="192" t="n"/>
      <c r="BU40" s="38" t="n"/>
      <c r="BV40" s="39" t="n"/>
    </row>
    <row r="41" ht="23.1" customHeight="1" s="240">
      <c r="B41" s="150" t="inlineStr">
        <is>
          <t>8.3</t>
        </is>
      </c>
      <c r="C41" t="inlineStr">
        <is>
          <t>Probar recuperación de respaldo exitosamente.</t>
        </is>
      </c>
      <c r="D41" s="152" t="inlineStr">
        <is>
          <t>Andree</t>
        </is>
      </c>
      <c r="E41" s="153" t="n">
        <v>1</v>
      </c>
      <c r="F41" s="154" t="n">
        <v>1</v>
      </c>
      <c r="G41" s="155">
        <f>E41-F41</f>
        <v/>
      </c>
      <c r="H41" s="212" t="n"/>
      <c r="I41" s="157" t="n"/>
      <c r="J41" s="158" t="n"/>
      <c r="K41" s="213" t="n"/>
      <c r="L41" s="201">
        <f>IFERROR(F41/E41,"")</f>
        <v/>
      </c>
      <c r="M41" s="73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  <c r="AA41" s="75" t="n"/>
      <c r="AB41" s="73" t="n"/>
      <c r="AC41" s="74" t="n"/>
      <c r="AD41" s="74" t="n"/>
      <c r="AE41" s="74" t="n"/>
      <c r="AF41" s="74" t="n"/>
      <c r="AG41" s="74" t="n"/>
      <c r="AH41" s="74" t="n"/>
      <c r="AI41" s="74" t="n"/>
      <c r="AJ41" s="74" t="n"/>
      <c r="AK41" s="74" t="n"/>
      <c r="AL41" s="74" t="n"/>
      <c r="AM41" s="74" t="n"/>
      <c r="AN41" s="74" t="n"/>
      <c r="AO41" s="74" t="n"/>
      <c r="AP41" s="75" t="n"/>
      <c r="AQ41" s="73" t="n"/>
      <c r="AR41" s="74" t="n"/>
      <c r="AS41" s="74" t="n"/>
      <c r="AT41" s="74" t="n"/>
      <c r="AU41" s="74" t="n"/>
      <c r="AV41" s="74" t="n"/>
      <c r="AW41" s="74" t="n"/>
      <c r="AX41" s="74" t="n"/>
      <c r="AY41" s="74" t="n"/>
      <c r="AZ41" s="74" t="n"/>
      <c r="BA41" s="74" t="n"/>
      <c r="BB41" s="74" t="n"/>
      <c r="BC41" s="74" t="n"/>
      <c r="BD41" s="74" t="n"/>
      <c r="BE41" s="75" t="n"/>
      <c r="BF41" s="73" t="n"/>
      <c r="BG41" s="74" t="n"/>
      <c r="BH41" s="74" t="n"/>
      <c r="BI41" s="74" t="n"/>
      <c r="BJ41" s="74" t="n"/>
      <c r="BK41" s="191" t="n"/>
      <c r="BL41" s="191" t="n"/>
      <c r="BM41" s="191" t="n"/>
      <c r="BN41" s="191" t="n"/>
      <c r="BO41" s="191" t="n"/>
      <c r="BP41" s="191" t="n"/>
      <c r="BQ41" s="191" t="n"/>
      <c r="BR41" s="191" t="n"/>
      <c r="BS41" s="191" t="n"/>
      <c r="BT41" s="192" t="n"/>
      <c r="BU41" s="38" t="n"/>
      <c r="BV41" s="39" t="n"/>
    </row>
    <row r="42" ht="23.1" customHeight="1" s="240">
      <c r="B42" s="38" t="n"/>
      <c r="C42" s="38" t="n"/>
      <c r="D42" s="223" t="n"/>
      <c r="E42" s="224" t="inlineStr">
        <is>
          <t>ESTIMAR</t>
        </is>
      </c>
      <c r="F42" s="224" t="inlineStr">
        <is>
          <t>COMPLETADO</t>
        </is>
      </c>
      <c r="G42" s="224" t="inlineStr">
        <is>
          <t>RESTANTE</t>
        </is>
      </c>
      <c r="H42" s="224" t="inlineStr">
        <is>
          <t>DÍAS</t>
        </is>
      </c>
      <c r="I42" s="224" t="inlineStr">
        <is>
          <t>EST/ DÍAS</t>
        </is>
      </c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8" t="n"/>
      <c r="BF42" s="38" t="n"/>
      <c r="BG42" s="38" t="n"/>
      <c r="BH42" s="38" t="n"/>
      <c r="BI42" s="38" t="n"/>
      <c r="BJ42" s="38" t="n"/>
      <c r="BK42" s="38" t="n"/>
      <c r="BL42" s="38" t="n"/>
      <c r="BM42" s="38" t="n"/>
      <c r="BN42" s="38" t="n"/>
      <c r="BO42" s="38" t="n"/>
      <c r="BP42" s="38" t="n"/>
      <c r="BQ42" s="38" t="n"/>
      <c r="BR42" s="38" t="n"/>
      <c r="BS42" s="38" t="n"/>
      <c r="BT42" s="38" t="n"/>
      <c r="BU42" s="38" t="n"/>
      <c r="BV42" s="39" t="n"/>
    </row>
    <row r="43" ht="23.1" customHeight="1" s="240">
      <c r="B43" s="38" t="n"/>
      <c r="C43" s="36" t="inlineStr">
        <is>
          <t>DATOS DE DESGASTE</t>
        </is>
      </c>
      <c r="D43" s="215" t="inlineStr">
        <is>
          <t>TOTAL DE HORAS</t>
        </is>
      </c>
      <c r="E43" s="216">
        <f>SUM(E11:E13,E15:E17,E19:E21,E23:E25,E27:E29,E39:E41,E31:E33,E35:E37)</f>
        <v/>
      </c>
      <c r="F43" s="216">
        <f>SUM(F11:F13,F15:F17,F19:F21,F23:F25,F27:F29,F39:F41,F35:F37,F31:F33)</f>
        <v/>
      </c>
      <c r="G43" s="216">
        <f>SUM(G11:G13,G15:G17,G19:G21,G23:G25,G27:G29,G39:G41)</f>
        <v/>
      </c>
      <c r="H43" s="217" t="n">
        <v>7</v>
      </c>
      <c r="I43" s="218">
        <f>E43/H43</f>
        <v/>
      </c>
      <c r="J43" s="38" t="n"/>
      <c r="K43" s="38" t="n"/>
      <c r="L43" s="182" t="inlineStr">
        <is>
          <t>DÍA</t>
        </is>
      </c>
      <c r="M43" s="95" t="n">
        <v>1</v>
      </c>
      <c r="N43" s="95" t="n">
        <v>2</v>
      </c>
      <c r="O43" s="95" t="n">
        <v>3</v>
      </c>
      <c r="P43" s="95" t="n">
        <v>4</v>
      </c>
      <c r="Q43" s="95" t="n">
        <v>5</v>
      </c>
      <c r="R43" s="95" t="n">
        <v>6</v>
      </c>
      <c r="S43" s="95" t="n">
        <v>7</v>
      </c>
      <c r="T43" s="95" t="n"/>
      <c r="U43" s="95" t="n"/>
      <c r="V43" s="95" t="n"/>
      <c r="W43" s="95" t="n"/>
      <c r="X43" s="95" t="n"/>
      <c r="Y43" s="95" t="n"/>
      <c r="Z43" s="95" t="n"/>
      <c r="AA43" s="95" t="n"/>
      <c r="AB43" s="95" t="n"/>
      <c r="AC43" s="95" t="n"/>
      <c r="AD43" s="95" t="n"/>
      <c r="AE43" s="95" t="n"/>
      <c r="AF43" s="95" t="n"/>
      <c r="AG43" s="95" t="n"/>
      <c r="AH43" s="95" t="n"/>
      <c r="AI43" s="95" t="n"/>
      <c r="AJ43" s="95" t="n"/>
      <c r="AK43" s="95" t="n"/>
      <c r="AL43" s="95" t="n"/>
      <c r="AM43" s="95" t="n"/>
      <c r="AN43" s="95" t="n"/>
      <c r="AO43" s="95" t="n"/>
      <c r="AP43" s="95" t="n"/>
      <c r="AQ43" s="95" t="n"/>
      <c r="AR43" s="95" t="n"/>
      <c r="AS43" s="95" t="n"/>
      <c r="AT43" s="95" t="n"/>
      <c r="AU43" s="95" t="n"/>
      <c r="AV43" s="95" t="n"/>
      <c r="AW43" s="95" t="n"/>
      <c r="AX43" s="95" t="n"/>
      <c r="AY43" s="95" t="n"/>
      <c r="AZ43" s="95" t="n"/>
      <c r="BA43" s="95" t="n"/>
      <c r="BB43" s="95" t="n"/>
      <c r="BC43" s="95" t="n"/>
      <c r="BD43" s="95" t="n"/>
      <c r="BE43" s="95" t="n"/>
      <c r="BF43" s="95" t="n"/>
      <c r="BG43" s="95" t="n"/>
      <c r="BH43" s="95" t="n"/>
      <c r="BI43" s="95" t="n"/>
      <c r="BJ43" s="95" t="n"/>
      <c r="BK43" s="95" t="n"/>
      <c r="BL43" s="95" t="n"/>
      <c r="BM43" s="95" t="n"/>
      <c r="BN43" s="95" t="n"/>
      <c r="BO43" s="95" t="n"/>
      <c r="BP43" s="95" t="n"/>
      <c r="BQ43" s="95" t="n"/>
      <c r="BR43" s="95" t="n"/>
      <c r="BS43" s="95" t="n"/>
      <c r="BT43" s="95" t="n"/>
      <c r="BU43" s="38" t="n"/>
      <c r="BV43" s="137" t="inlineStr">
        <is>
          <t>TOTAL</t>
        </is>
      </c>
    </row>
    <row r="44" ht="23.1" customHeight="1" s="240">
      <c r="B44" s="38" t="n"/>
      <c r="C44" s="38" t="n"/>
      <c r="D44" s="38" t="n"/>
      <c r="E44" s="38" t="n"/>
      <c r="F44" s="38" t="n"/>
      <c r="G44" s="38" t="n"/>
      <c r="H44" s="96" t="inlineStr">
        <is>
          <t xml:space="preserve">     ^ Introduzca el número de días</t>
        </is>
      </c>
      <c r="I44" s="38" t="n"/>
      <c r="J44" s="38" t="n"/>
      <c r="K44" s="38" t="n"/>
      <c r="L44" s="182" t="inlineStr">
        <is>
          <t>PLAN</t>
        </is>
      </c>
      <c r="M44" s="97">
        <f>E43</f>
        <v/>
      </c>
      <c r="N44" s="98">
        <f>M44-I43</f>
        <v/>
      </c>
      <c r="O44" s="98">
        <f>N44-I43</f>
        <v/>
      </c>
      <c r="P44" s="98">
        <f>O44-I43</f>
        <v/>
      </c>
      <c r="Q44" s="98">
        <f>P44-I43</f>
        <v/>
      </c>
      <c r="R44" s="98">
        <f>Q44-I43</f>
        <v/>
      </c>
      <c r="S44" s="98">
        <f>R44-I43</f>
        <v/>
      </c>
      <c r="T44" s="98" t="n"/>
      <c r="U44" s="98" t="n"/>
      <c r="V44" s="98" t="n"/>
      <c r="W44" s="98" t="n"/>
      <c r="X44" s="98" t="n"/>
      <c r="Y44" s="98" t="n"/>
      <c r="Z44" s="98" t="n"/>
      <c r="AA44" s="98" t="n"/>
      <c r="AB44" s="98" t="n"/>
      <c r="AC44" s="98" t="n"/>
      <c r="AD44" s="98" t="n"/>
      <c r="AE44" s="98" t="n"/>
      <c r="AF44" s="98" t="n"/>
      <c r="AG44" s="98" t="n"/>
      <c r="AH44" s="98" t="n"/>
      <c r="AI44" s="98" t="n"/>
      <c r="AJ44" s="98" t="n"/>
      <c r="AK44" s="98" t="n"/>
      <c r="AL44" s="98" t="n"/>
      <c r="AM44" s="98" t="n"/>
      <c r="AN44" s="98" t="n"/>
      <c r="AO44" s="98" t="n"/>
      <c r="AP44" s="98" t="n"/>
      <c r="AQ44" s="98" t="n"/>
      <c r="AR44" s="98" t="n"/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38" t="n"/>
      <c r="BV44" s="138" t="inlineStr">
        <is>
          <t>HORAS</t>
        </is>
      </c>
    </row>
    <row r="45" ht="23.1" customHeight="1" s="240"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182" t="inlineStr">
        <is>
          <t>ESTIMAR</t>
        </is>
      </c>
      <c r="M45" s="97">
        <f>E43</f>
        <v/>
      </c>
      <c r="N45" s="97">
        <f>M47</f>
        <v/>
      </c>
      <c r="O45" s="97">
        <f>N47</f>
        <v/>
      </c>
      <c r="P45" s="97">
        <f>O47</f>
        <v/>
      </c>
      <c r="Q45" s="97">
        <f>P47</f>
        <v/>
      </c>
      <c r="R45" s="97">
        <f>Q47</f>
        <v/>
      </c>
      <c r="S45" s="97">
        <f>R47</f>
        <v/>
      </c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  <c r="BJ45" s="97" t="n"/>
      <c r="BK45" s="97" t="n"/>
      <c r="BL45" s="97" t="n"/>
      <c r="BM45" s="97" t="n"/>
      <c r="BN45" s="97" t="n"/>
      <c r="BO45" s="97" t="n"/>
      <c r="BP45" s="97" t="n"/>
      <c r="BQ45" s="97" t="n"/>
      <c r="BR45" s="97" t="n"/>
      <c r="BS45" s="97" t="n"/>
      <c r="BT45" s="97" t="n"/>
      <c r="BU45" s="38" t="n"/>
      <c r="BV45" s="139">
        <f>SUM(M45:BT45)</f>
        <v/>
      </c>
    </row>
    <row r="46" ht="23.1" customHeight="1" s="240"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99" t="inlineStr">
        <is>
          <t>Introduzca las horas completadas por día ----&gt;</t>
        </is>
      </c>
      <c r="L46" s="182" t="inlineStr">
        <is>
          <t>HRS COMPLETADO</t>
        </is>
      </c>
      <c r="M46" s="76" t="n">
        <v>6</v>
      </c>
      <c r="N46" s="76" t="n">
        <v>4</v>
      </c>
      <c r="O46" s="76" t="n">
        <v>6</v>
      </c>
      <c r="P46" s="76" t="n">
        <v>8</v>
      </c>
      <c r="Q46" s="76" t="n">
        <v>4</v>
      </c>
      <c r="R46" s="76" t="n">
        <v>12</v>
      </c>
      <c r="S46" s="76" t="n">
        <v>12</v>
      </c>
      <c r="T46" s="76" t="n"/>
      <c r="U46" s="76" t="n"/>
      <c r="V46" s="76" t="n"/>
      <c r="W46" s="76" t="n"/>
      <c r="X46" s="76" t="n"/>
      <c r="Y46" s="76" t="n"/>
      <c r="Z46" s="76" t="n"/>
      <c r="AA46" s="76" t="n"/>
      <c r="AB46" s="76" t="n"/>
      <c r="AC46" s="76" t="n"/>
      <c r="AD46" s="76" t="n"/>
      <c r="AE46" s="76" t="n"/>
      <c r="AF46" s="76" t="n"/>
      <c r="AG46" s="76" t="n"/>
      <c r="AH46" s="76" t="n"/>
      <c r="AI46" s="76" t="n"/>
      <c r="AJ46" s="76" t="n"/>
      <c r="AK46" s="76" t="n"/>
      <c r="AL46" s="76" t="n"/>
      <c r="AM46" s="76" t="n"/>
      <c r="AN46" s="76" t="n"/>
      <c r="AO46" s="76" t="n"/>
      <c r="AP46" s="76" t="n"/>
      <c r="AQ46" s="76" t="n"/>
      <c r="AR46" s="76" t="n"/>
      <c r="AS46" s="76" t="n"/>
      <c r="AT46" s="76" t="n"/>
      <c r="AU46" s="76" t="n"/>
      <c r="AV46" s="76" t="n"/>
      <c r="AW46" s="76" t="n"/>
      <c r="AX46" s="76" t="n"/>
      <c r="AY46" s="76" t="n"/>
      <c r="AZ46" s="76" t="n"/>
      <c r="BA46" s="76" t="n"/>
      <c r="BB46" s="76" t="n"/>
      <c r="BC46" s="76" t="n"/>
      <c r="BD46" s="76" t="n"/>
      <c r="BE46" s="76" t="n"/>
      <c r="BF46" s="76" t="n"/>
      <c r="BG46" s="76" t="n"/>
      <c r="BH46" s="76" t="n"/>
      <c r="BI46" s="76" t="n"/>
      <c r="BJ46" s="76" t="n"/>
      <c r="BK46" s="76" t="n"/>
      <c r="BL46" s="76" t="n"/>
      <c r="BM46" s="76" t="n"/>
      <c r="BN46" s="76" t="n"/>
      <c r="BO46" s="76" t="n"/>
      <c r="BP46" s="76" t="n"/>
      <c r="BQ46" s="76" t="n"/>
      <c r="BR46" s="76" t="n"/>
      <c r="BS46" s="76" t="n"/>
      <c r="BT46" s="76" t="n"/>
      <c r="BU46" s="38" t="n"/>
      <c r="BV46" s="140">
        <f>SUM(M46:BT46)</f>
        <v/>
      </c>
    </row>
    <row r="47" ht="23.1" customHeight="1" s="240"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182" t="inlineStr">
        <is>
          <t>HRS RESTANTE</t>
        </is>
      </c>
      <c r="M47" s="97">
        <f>M45-M46</f>
        <v/>
      </c>
      <c r="N47" s="97">
        <f>N45-N46</f>
        <v/>
      </c>
      <c r="O47" s="97">
        <f>O45-O46</f>
        <v/>
      </c>
      <c r="P47" s="97">
        <f>P45-P46</f>
        <v/>
      </c>
      <c r="Q47" s="97">
        <f>Q45-Q46</f>
        <v/>
      </c>
      <c r="R47" s="97">
        <f>R45-R46</f>
        <v/>
      </c>
      <c r="S47" s="97">
        <f>S45-S46</f>
        <v/>
      </c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  <c r="BH47" s="97" t="n"/>
      <c r="BI47" s="97" t="n"/>
      <c r="BJ47" s="97" t="n"/>
      <c r="BK47" s="97" t="n"/>
      <c r="BL47" s="97" t="n"/>
      <c r="BM47" s="97" t="n"/>
      <c r="BN47" s="97" t="n"/>
      <c r="BO47" s="97" t="n"/>
      <c r="BP47" s="97" t="n"/>
      <c r="BQ47" s="97" t="n"/>
      <c r="BR47" s="97" t="n"/>
      <c r="BS47" s="97" t="n"/>
      <c r="BT47" s="97" t="n"/>
      <c r="BU47" s="38" t="n"/>
      <c r="BV47" s="140">
        <f>SUM(M47:BT47)</f>
        <v/>
      </c>
    </row>
    <row r="48" ht="19.5" customHeight="1" s="240">
      <c r="C48" s="36" t="inlineStr">
        <is>
          <t>GRÁFICO DE BURNDOWN</t>
        </is>
      </c>
      <c r="I48" s="210" t="n"/>
    </row>
    <row r="49" ht="381.95" customHeight="1" s="240"/>
    <row r="50" ht="216.95" customHeight="1" s="240"/>
    <row r="51"/>
    <row r="52" ht="50.1" customHeight="1" s="240">
      <c r="B52" s="239" t="n"/>
    </row>
  </sheetData>
  <mergeCells count="23">
    <mergeCell ref="R8:V8"/>
    <mergeCell ref="B52:BV52"/>
    <mergeCell ref="B8:B9"/>
    <mergeCell ref="BA8:BE8"/>
    <mergeCell ref="AV8:AZ8"/>
    <mergeCell ref="L8:L9"/>
    <mergeCell ref="K3:K7"/>
    <mergeCell ref="BF8:BJ8"/>
    <mergeCell ref="BP8:BT8"/>
    <mergeCell ref="C8:C9"/>
    <mergeCell ref="I8:I9"/>
    <mergeCell ref="AQ8:AU8"/>
    <mergeCell ref="K8:K9"/>
    <mergeCell ref="BK8:BO8"/>
    <mergeCell ref="D8:D9"/>
    <mergeCell ref="AB8:AF8"/>
    <mergeCell ref="M8:Q8"/>
    <mergeCell ref="AL8:AP8"/>
    <mergeCell ref="W8:AA8"/>
    <mergeCell ref="H8:H9"/>
    <mergeCell ref="J8:J9"/>
    <mergeCell ref="E8:G8"/>
    <mergeCell ref="AG8:AK8"/>
  </mergeCells>
  <conditionalFormatting sqref="L10:L29 L31:L33 L35:L41">
    <cfRule type="dataBar" priority="11">
      <dataBar>
        <cfvo type="percent" val="0"/>
        <cfvo type="percent" val="100"/>
        <color rgb="FF638EC6"/>
      </dataBar>
    </cfRule>
    <cfRule type="dataBar" priority="12">
      <dataBar>
        <cfvo type="percent" val="1"/>
        <cfvo type="percent" val="100"/>
        <color theme="8" tint="0.5999938962981048"/>
      </dataBar>
    </cfRule>
    <cfRule type="dataBar" priority="9">
      <dataBar>
        <cfvo type="min"/>
        <cfvo type="max"/>
        <color rgb="FF638EC6"/>
      </dataBar>
    </cfRule>
    <cfRule type="dataBar" priority="10">
      <dataBar>
        <cfvo type="num" val="0"/>
        <cfvo type="num" val="1"/>
        <color rgb="FF638EC6"/>
      </dataBar>
    </cfRule>
  </conditionalFormatting>
  <conditionalFormatting sqref="L30">
    <cfRule type="dataBar" priority="7">
      <dataBar>
        <cfvo type="percent" val="0"/>
        <cfvo type="percent" val="100"/>
        <color rgb="FF638EC6"/>
      </dataBar>
    </cfRule>
    <cfRule type="dataBar" priority="8">
      <dataBar>
        <cfvo type="percent" val="1"/>
        <cfvo type="percent" val="100"/>
        <color theme="8" tint="0.5999938962981048"/>
      </dataBar>
    </cfRule>
    <cfRule type="dataBar" priority="5">
      <dataBar>
        <cfvo type="min"/>
        <cfvo type="max"/>
        <color rgb="FF638EC6"/>
      </dataBar>
    </cfRule>
    <cfRule type="dataBar" priority="6">
      <dataBar>
        <cfvo type="num" val="0"/>
        <cfvo type="num" val="1"/>
        <color rgb="FF638EC6"/>
      </dataBar>
    </cfRule>
  </conditionalFormatting>
  <conditionalFormatting sqref="L34">
    <cfRule type="dataBar" priority="3">
      <dataBar>
        <cfvo type="percent" val="0"/>
        <cfvo type="percent" val="100"/>
        <color rgb="FF638EC6"/>
      </dataBar>
    </cfRule>
    <cfRule type="dataBar" priority="4">
      <dataBar>
        <cfvo type="percent" val="1"/>
        <cfvo type="percent" val="100"/>
        <color theme="8" tint="0.5999938962981048"/>
      </dataBar>
    </cfRule>
    <cfRule type="dataBar" priority="1">
      <dataBar>
        <cfvo type="min"/>
        <cfvo type="max"/>
        <color rgb="FF638EC6"/>
      </dataBar>
    </cfRule>
    <cfRule type="dataBar" priority="2">
      <dataBar>
        <cfvo type="num" val="0"/>
        <cfvo type="num" val="1"/>
        <color rgb="FF638EC6"/>
      </dataBar>
    </cfRule>
  </conditionalFormatting>
  <pageMargins left="0.3" right="0.3" top="0.3" bottom="0.3" header="0" footer="0"/>
  <pageSetup orientation="landscape" scale="32" fitToHeight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3"/>
    <outlinePr summaryBelow="1" summaryRight="1"/>
    <pageSetUpPr fitToPage="1"/>
  </sheetPr>
  <dimension ref="A1:BV36"/>
  <sheetViews>
    <sheetView showGridLines="0" zoomScaleNormal="100" zoomScalePageLayoutView="70" workbookViewId="0">
      <pane ySplit="1" topLeftCell="A2" activePane="bottomLeft" state="frozen"/>
      <selection pane="bottomLeft" activeCell="F28" sqref="F28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51.2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5" customWidth="1" style="241" min="74" max="74"/>
    <col width="3.25" customWidth="1" style="240" min="75" max="75"/>
    <col width="11.125" customWidth="1" style="240" min="76" max="16384"/>
  </cols>
  <sheetData>
    <row r="1" ht="45" customHeight="1" s="240">
      <c r="A1" s="31" t="n"/>
      <c r="B1" s="32" t="inlineStr">
        <is>
          <t>Implementación de sistema de visión por computadora con CNN para diagnóstico de enfermedades en hojas de cultivos andinos en comunidades de Cusco</t>
        </is>
      </c>
      <c r="C1" s="33" t="n"/>
      <c r="D1" s="33" t="n"/>
      <c r="E1" s="33" t="n"/>
      <c r="F1" s="33" t="n"/>
      <c r="G1" s="33" t="n"/>
      <c r="H1" s="33" t="n"/>
      <c r="I1" s="33" t="n"/>
      <c r="J1" s="34" t="n"/>
      <c r="K1" s="34" t="n"/>
      <c r="L1" s="34" t="n"/>
      <c r="M1" s="34" t="n"/>
      <c r="N1" s="34" t="n"/>
      <c r="O1" s="34" t="n"/>
      <c r="P1" s="34" t="n"/>
    </row>
    <row r="2" ht="35.1" customFormat="1" customHeight="1" s="241" thickBot="1">
      <c r="B2" s="106" t="n"/>
      <c r="C2" s="37" t="n"/>
      <c r="D2" s="37" t="n"/>
      <c r="E2" s="37" t="n"/>
      <c r="F2" s="36" t="n"/>
      <c r="G2" s="37" t="n"/>
      <c r="H2" s="37" t="n"/>
      <c r="I2" s="37" t="n"/>
      <c r="J2" s="37" t="n"/>
      <c r="K2" s="37" t="n"/>
      <c r="L2" s="37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5" t="inlineStr">
        <is>
          <t>SPRINTS</t>
        </is>
      </c>
      <c r="L3" s="42" t="inlineStr">
        <is>
          <t>SPRINT 1</t>
        </is>
      </c>
      <c r="M3" s="43" t="n"/>
      <c r="N3" s="43" t="n"/>
      <c r="O3" s="43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6" t="n"/>
      <c r="BU3" s="38" t="n"/>
      <c r="BV3" s="39" t="n"/>
    </row>
    <row r="4" ht="23.1" customHeight="1" s="240"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246" t="n"/>
      <c r="L4" s="47" t="inlineStr">
        <is>
          <t>SPRINT 2</t>
        </is>
      </c>
      <c r="M4" s="48" t="n"/>
      <c r="N4" s="48" t="n"/>
      <c r="O4" s="48" t="n"/>
      <c r="P4" s="49" t="n"/>
      <c r="Q4" s="49" t="n"/>
      <c r="R4" s="49" t="n"/>
      <c r="S4" s="49" t="n"/>
      <c r="T4" s="49" t="n"/>
      <c r="U4" s="49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2" t="inlineStr">
        <is>
          <t>SPRINT 3</t>
        </is>
      </c>
      <c r="M5" s="48" t="n"/>
      <c r="N5" s="48" t="n"/>
      <c r="O5" s="48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6" t="n"/>
      <c r="L6" s="54" t="inlineStr">
        <is>
          <t>SPRINT 4</t>
        </is>
      </c>
      <c r="M6" s="48" t="n"/>
      <c r="N6" s="48" t="n"/>
      <c r="O6" s="48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 thickBot="1">
      <c r="B7" s="36" t="n"/>
      <c r="C7" s="37" t="n"/>
      <c r="D7" s="37" t="n"/>
      <c r="E7" s="37" t="n"/>
      <c r="F7" s="37" t="n"/>
      <c r="G7" s="37" t="n"/>
      <c r="H7" s="37" t="n"/>
      <c r="I7" s="36" t="n"/>
      <c r="J7" s="37" t="n"/>
      <c r="K7" s="247" t="n"/>
      <c r="L7" s="56" t="inlineStr">
        <is>
          <t>SPRINT 5</t>
        </is>
      </c>
      <c r="M7" s="48" t="n"/>
      <c r="N7" s="48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51" t="n"/>
      <c r="BU7" s="38" t="n"/>
      <c r="BV7" s="39" t="n"/>
    </row>
    <row r="8" ht="23.1" customHeight="1" s="240" thickBot="1">
      <c r="B8" s="262" t="inlineStr">
        <is>
          <t>ESTRUCTURA DE DESGLOSE DEL TRABAJO</t>
        </is>
      </c>
      <c r="C8" s="270" t="inlineStr">
        <is>
          <t>TÍTULO DE LA TAREA</t>
        </is>
      </c>
      <c r="D8" s="266" t="inlineStr">
        <is>
          <t>PROPIETARIO DE LA TAREA</t>
        </is>
      </c>
      <c r="E8" s="242" t="inlineStr">
        <is>
          <t>CANTIDAD DE TRABAJO EN HORAS</t>
        </is>
      </c>
      <c r="F8" s="243" t="n"/>
      <c r="G8" s="244" t="n"/>
      <c r="H8" s="264" t="inlineStr">
        <is>
          <t>CARRERA</t>
        </is>
      </c>
      <c r="I8" s="268" t="inlineStr">
        <is>
          <t>FECHA DE INICIO</t>
        </is>
      </c>
      <c r="J8" s="269" t="inlineStr">
        <is>
          <t>FECHA DE VENCIMIENTO</t>
        </is>
      </c>
      <c r="K8" s="248" t="inlineStr">
        <is>
          <t>DURACIÓN</t>
        </is>
      </c>
      <c r="L8" s="250" t="inlineStr">
        <is>
          <t>PCT DE TAREA COMPLETADA</t>
        </is>
      </c>
      <c r="M8" s="252" t="inlineStr">
        <is>
          <t>SEMANA 1</t>
        </is>
      </c>
      <c r="N8" s="253" t="n"/>
      <c r="O8" s="253" t="n"/>
      <c r="P8" s="253" t="n"/>
      <c r="Q8" s="254" t="n"/>
      <c r="R8" s="255" t="inlineStr">
        <is>
          <t>SEMANA 2</t>
        </is>
      </c>
      <c r="S8" s="253" t="n"/>
      <c r="T8" s="253" t="n"/>
      <c r="U8" s="253" t="n"/>
      <c r="V8" s="254" t="n"/>
      <c r="W8" s="255" t="inlineStr">
        <is>
          <t>SEMANA 3</t>
        </is>
      </c>
      <c r="X8" s="253" t="n"/>
      <c r="Y8" s="253" t="n"/>
      <c r="Z8" s="253" t="n"/>
      <c r="AA8" s="254" t="n"/>
      <c r="AB8" s="257" t="inlineStr">
        <is>
          <t>SEMANA 4</t>
        </is>
      </c>
      <c r="AC8" s="253" t="n"/>
      <c r="AD8" s="253" t="n"/>
      <c r="AE8" s="253" t="n"/>
      <c r="AF8" s="254" t="n"/>
      <c r="AG8" s="258" t="inlineStr">
        <is>
          <t>SEMANA 5</t>
        </is>
      </c>
      <c r="AH8" s="253" t="n"/>
      <c r="AI8" s="253" t="n"/>
      <c r="AJ8" s="253" t="n"/>
      <c r="AK8" s="254" t="n"/>
      <c r="AL8" s="258" t="inlineStr">
        <is>
          <t>SEMANA 6</t>
        </is>
      </c>
      <c r="AM8" s="253" t="n"/>
      <c r="AN8" s="253" t="n"/>
      <c r="AO8" s="253" t="n"/>
      <c r="AP8" s="254" t="n"/>
      <c r="AQ8" s="256" t="inlineStr">
        <is>
          <t>SEMANA 7</t>
        </is>
      </c>
      <c r="AR8" s="253" t="n"/>
      <c r="AS8" s="253" t="n"/>
      <c r="AT8" s="253" t="n"/>
      <c r="AU8" s="254" t="n"/>
      <c r="AV8" s="259" t="inlineStr">
        <is>
          <t>SEMANA 8</t>
        </is>
      </c>
      <c r="AW8" s="253" t="n"/>
      <c r="AX8" s="253" t="n"/>
      <c r="AY8" s="253" t="n"/>
      <c r="AZ8" s="254" t="n"/>
      <c r="BA8" s="259" t="inlineStr">
        <is>
          <t>SEMANA 9</t>
        </is>
      </c>
      <c r="BB8" s="253" t="n"/>
      <c r="BC8" s="253" t="n"/>
      <c r="BD8" s="253" t="n"/>
      <c r="BE8" s="254" t="n"/>
      <c r="BF8" s="260" t="inlineStr">
        <is>
          <t>SEMANA 10</t>
        </is>
      </c>
      <c r="BG8" s="253" t="n"/>
      <c r="BH8" s="253" t="n"/>
      <c r="BI8" s="253" t="n"/>
      <c r="BJ8" s="254" t="n"/>
      <c r="BK8" s="261" t="n"/>
      <c r="BL8" s="253" t="n"/>
      <c r="BM8" s="253" t="n"/>
      <c r="BN8" s="253" t="n"/>
      <c r="BO8" s="254" t="n"/>
      <c r="BP8" s="261" t="n"/>
      <c r="BQ8" s="253" t="n"/>
      <c r="BR8" s="253" t="n"/>
      <c r="BS8" s="253" t="n"/>
      <c r="BT8" s="254" t="n"/>
      <c r="BU8" s="38" t="n"/>
      <c r="BV8" s="39" t="n"/>
    </row>
    <row r="9" ht="23.1" customHeight="1" s="240" thickBot="1" thickTop="1">
      <c r="B9" s="263" t="n"/>
      <c r="C9" s="271" t="n"/>
      <c r="D9" s="267" t="n"/>
      <c r="E9" s="58" t="inlineStr">
        <is>
          <t>ESTIMAR</t>
        </is>
      </c>
      <c r="F9" s="59" t="inlineStr">
        <is>
          <t>COMPLETADO</t>
        </is>
      </c>
      <c r="G9" s="60" t="inlineStr">
        <is>
          <t>RESTANTE</t>
        </is>
      </c>
      <c r="H9" s="265" t="n"/>
      <c r="I9" s="254" t="n"/>
      <c r="J9" s="249" t="n"/>
      <c r="K9" s="249" t="n"/>
      <c r="L9" s="251" t="n"/>
      <c r="M9" s="61" t="inlineStr">
        <is>
          <t>M</t>
        </is>
      </c>
      <c r="N9" s="62" t="inlineStr">
        <is>
          <t>T</t>
        </is>
      </c>
      <c r="O9" s="62" t="inlineStr">
        <is>
          <t>W</t>
        </is>
      </c>
      <c r="P9" s="62" t="inlineStr">
        <is>
          <t>R</t>
        </is>
      </c>
      <c r="Q9" s="62" t="inlineStr">
        <is>
          <t>F</t>
        </is>
      </c>
      <c r="R9" s="62" t="inlineStr">
        <is>
          <t>M</t>
        </is>
      </c>
      <c r="S9" s="62" t="inlineStr">
        <is>
          <t>T</t>
        </is>
      </c>
      <c r="T9" s="62" t="inlineStr">
        <is>
          <t>W</t>
        </is>
      </c>
      <c r="U9" s="62" t="inlineStr">
        <is>
          <t>R</t>
        </is>
      </c>
      <c r="V9" s="62" t="inlineStr">
        <is>
          <t>F</t>
        </is>
      </c>
      <c r="W9" s="62" t="inlineStr">
        <is>
          <t>M</t>
        </is>
      </c>
      <c r="X9" s="62" t="inlineStr">
        <is>
          <t>T</t>
        </is>
      </c>
      <c r="Y9" s="62" t="inlineStr">
        <is>
          <t>W</t>
        </is>
      </c>
      <c r="Z9" s="62" t="inlineStr">
        <is>
          <t>R</t>
        </is>
      </c>
      <c r="AA9" s="63" t="inlineStr">
        <is>
          <t>F</t>
        </is>
      </c>
      <c r="AB9" s="64" t="inlineStr">
        <is>
          <t>M</t>
        </is>
      </c>
      <c r="AC9" s="65" t="inlineStr">
        <is>
          <t>T</t>
        </is>
      </c>
      <c r="AD9" s="65" t="inlineStr">
        <is>
          <t>W</t>
        </is>
      </c>
      <c r="AE9" s="65" t="inlineStr">
        <is>
          <t>R</t>
        </is>
      </c>
      <c r="AF9" s="65" t="inlineStr">
        <is>
          <t>F</t>
        </is>
      </c>
      <c r="AG9" s="65" t="inlineStr">
        <is>
          <t>M</t>
        </is>
      </c>
      <c r="AH9" s="65" t="inlineStr">
        <is>
          <t>T</t>
        </is>
      </c>
      <c r="AI9" s="65" t="inlineStr">
        <is>
          <t>W</t>
        </is>
      </c>
      <c r="AJ9" s="65" t="inlineStr">
        <is>
          <t>R</t>
        </is>
      </c>
      <c r="AK9" s="65" t="inlineStr">
        <is>
          <t>F</t>
        </is>
      </c>
      <c r="AL9" s="65" t="inlineStr">
        <is>
          <t>M</t>
        </is>
      </c>
      <c r="AM9" s="65" t="inlineStr">
        <is>
          <t>T</t>
        </is>
      </c>
      <c r="AN9" s="65" t="inlineStr">
        <is>
          <t>W</t>
        </is>
      </c>
      <c r="AO9" s="65" t="inlineStr">
        <is>
          <t>R</t>
        </is>
      </c>
      <c r="AP9" s="66" t="inlineStr">
        <is>
          <t>F</t>
        </is>
      </c>
      <c r="AQ9" s="67" t="inlineStr">
        <is>
          <t>M</t>
        </is>
      </c>
      <c r="AR9" s="68" t="inlineStr">
        <is>
          <t>T</t>
        </is>
      </c>
      <c r="AS9" s="68" t="inlineStr">
        <is>
          <t>W</t>
        </is>
      </c>
      <c r="AT9" s="68" t="inlineStr">
        <is>
          <t>R</t>
        </is>
      </c>
      <c r="AU9" s="68" t="inlineStr">
        <is>
          <t>F</t>
        </is>
      </c>
      <c r="AV9" s="68" t="inlineStr">
        <is>
          <t>M</t>
        </is>
      </c>
      <c r="AW9" s="68" t="inlineStr">
        <is>
          <t>T</t>
        </is>
      </c>
      <c r="AX9" s="68" t="inlineStr">
        <is>
          <t>W</t>
        </is>
      </c>
      <c r="AY9" s="68" t="inlineStr">
        <is>
          <t>R</t>
        </is>
      </c>
      <c r="AZ9" s="68" t="inlineStr">
        <is>
          <t>F</t>
        </is>
      </c>
      <c r="BA9" s="68" t="inlineStr">
        <is>
          <t>M</t>
        </is>
      </c>
      <c r="BB9" s="68" t="inlineStr">
        <is>
          <t>T</t>
        </is>
      </c>
      <c r="BC9" s="68" t="inlineStr">
        <is>
          <t>W</t>
        </is>
      </c>
      <c r="BD9" s="68" t="inlineStr">
        <is>
          <t>R</t>
        </is>
      </c>
      <c r="BE9" s="69" t="inlineStr">
        <is>
          <t>F</t>
        </is>
      </c>
      <c r="BF9" s="70" t="inlineStr">
        <is>
          <t>M</t>
        </is>
      </c>
      <c r="BG9" s="71" t="inlineStr">
        <is>
          <t>T</t>
        </is>
      </c>
      <c r="BH9" s="71" t="inlineStr">
        <is>
          <t>W</t>
        </is>
      </c>
      <c r="BI9" s="71" t="inlineStr">
        <is>
          <t>R</t>
        </is>
      </c>
      <c r="BJ9" s="71" t="inlineStr">
        <is>
          <t>F</t>
        </is>
      </c>
      <c r="BK9" s="188" t="n"/>
      <c r="BL9" s="188" t="n"/>
      <c r="BM9" s="188" t="n"/>
      <c r="BN9" s="188" t="n"/>
      <c r="BO9" s="188" t="n"/>
      <c r="BP9" s="188" t="n"/>
      <c r="BQ9" s="188" t="n"/>
      <c r="BR9" s="188" t="n"/>
      <c r="BS9" s="188" t="n"/>
      <c r="BT9" s="189" t="n"/>
      <c r="BU9" s="38" t="n"/>
      <c r="BV9" s="39" t="n"/>
    </row>
    <row r="10" ht="23.1" customHeight="1" s="240" thickTop="1">
      <c r="B10" s="202" t="n">
        <v>1</v>
      </c>
      <c r="C10" s="203" t="inlineStr">
        <is>
          <t>HU-20: Exportación de Datos Anonimizados (8h)</t>
        </is>
      </c>
      <c r="D10" s="204" t="n"/>
      <c r="E10" s="197">
        <f>SUM(E11:E13)</f>
        <v/>
      </c>
      <c r="F10" s="197">
        <f>SUM(F11:F13)</f>
        <v/>
      </c>
      <c r="G10" s="199">
        <f>SUM(G11:G13)</f>
        <v/>
      </c>
      <c r="H10" s="205" t="n"/>
      <c r="I10" s="206" t="n">
        <v>46308</v>
      </c>
      <c r="J10" s="206" t="n">
        <v>46312</v>
      </c>
      <c r="K10" s="207">
        <f>J10-I10+1</f>
        <v/>
      </c>
      <c r="L10" s="201">
        <f>IFERROR(F10/E10,"")</f>
        <v/>
      </c>
      <c r="M10" s="73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5" t="n"/>
      <c r="AB10" s="73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5" t="n"/>
      <c r="AQ10" s="73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5" t="n"/>
      <c r="BF10" s="73" t="n"/>
      <c r="BG10" s="74" t="n"/>
      <c r="BH10" s="74" t="n"/>
      <c r="BI10" s="74" t="n"/>
      <c r="BJ10" s="74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81" t="n"/>
      <c r="BU10" s="38" t="n"/>
      <c r="BV10" s="39" t="n"/>
    </row>
    <row r="11" ht="23.1" customHeight="1" s="240">
      <c r="B11" s="150" t="inlineStr">
        <is>
          <t>1.1</t>
        </is>
      </c>
      <c r="C11" t="inlineStr">
        <is>
          <t>Implementar exportación de registros en formato CSV/Excel.</t>
        </is>
      </c>
      <c r="D11" s="152" t="inlineStr">
        <is>
          <t>Yersson</t>
        </is>
      </c>
      <c r="E11" s="153" t="n">
        <v>4</v>
      </c>
      <c r="F11" s="154" t="n">
        <v>4</v>
      </c>
      <c r="G11" s="155">
        <f>E11-F11</f>
        <v/>
      </c>
      <c r="H11" s="156" t="n"/>
      <c r="I11" s="211" t="n"/>
      <c r="J11" s="211" t="n"/>
      <c r="K11" s="213" t="n"/>
      <c r="L11" s="201">
        <f>IFERROR(F11/E11,"")</f>
        <v/>
      </c>
      <c r="M11" s="77" t="n"/>
      <c r="N11" s="78" t="n"/>
      <c r="O11" s="78" t="n"/>
      <c r="P11" s="78" t="n"/>
      <c r="Q11" s="79" t="n"/>
      <c r="R11" s="79" t="n"/>
      <c r="S11" s="79" t="n"/>
      <c r="T11" s="79" t="n"/>
      <c r="U11" s="80" t="n"/>
      <c r="V11" s="80" t="n"/>
      <c r="W11" s="78" t="n"/>
      <c r="X11" s="78" t="n"/>
      <c r="Y11" s="78" t="n"/>
      <c r="Z11" s="78" t="n"/>
      <c r="AA11" s="81" t="n"/>
      <c r="AB11" s="77" t="n"/>
      <c r="AC11" s="78" t="n"/>
      <c r="AD11" s="78" t="n"/>
      <c r="AE11" s="78" t="n"/>
      <c r="AF11" s="78" t="n"/>
      <c r="AG11" s="82" t="n"/>
      <c r="AH11" s="82" t="n"/>
      <c r="AI11" s="82" t="n"/>
      <c r="AJ11" s="82" t="n"/>
      <c r="AK11" s="82" t="n"/>
      <c r="AL11" s="78" t="n"/>
      <c r="AM11" s="78" t="n"/>
      <c r="AN11" s="78" t="n"/>
      <c r="AO11" s="78" t="n"/>
      <c r="AP11" s="81" t="n"/>
      <c r="AQ11" s="77" t="n"/>
      <c r="AR11" s="78" t="n"/>
      <c r="AS11" s="78" t="n"/>
      <c r="AT11" s="78" t="n"/>
      <c r="AU11" s="78" t="n"/>
      <c r="AV11" s="83" t="n"/>
      <c r="AW11" s="83" t="n"/>
      <c r="AX11" s="83" t="n"/>
      <c r="AY11" s="83" t="n"/>
      <c r="AZ11" s="83" t="n"/>
      <c r="BA11" s="78" t="n"/>
      <c r="BB11" s="78" t="n"/>
      <c r="BC11" s="78" t="n"/>
      <c r="BD11" s="78" t="n"/>
      <c r="BE11" s="81" t="n"/>
      <c r="BF11" s="77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81" t="n"/>
      <c r="BU11" s="38" t="n"/>
      <c r="BV11" s="39" t="n"/>
    </row>
    <row r="12" ht="23.1" customHeight="1" s="240">
      <c r="B12" s="150" t="inlineStr">
        <is>
          <t>1.2</t>
        </is>
      </c>
      <c r="C12" t="inlineStr">
        <is>
          <t>Asegurar eliminación de datos personales antes de exportar.</t>
        </is>
      </c>
      <c r="D12" s="152" t="inlineStr">
        <is>
          <t>Yersson</t>
        </is>
      </c>
      <c r="E12" s="153" t="n">
        <v>3</v>
      </c>
      <c r="F12" s="154" t="n">
        <v>3</v>
      </c>
      <c r="G12" s="155">
        <f>E12-F12</f>
        <v/>
      </c>
      <c r="H12" s="163" t="n"/>
      <c r="I12" s="211" t="n"/>
      <c r="J12" s="211" t="n"/>
      <c r="K12" s="213" t="n"/>
      <c r="L12" s="201">
        <f>IFERROR(F12/E12,"")</f>
        <v/>
      </c>
      <c r="M12" s="77" t="n"/>
      <c r="N12" s="78" t="n"/>
      <c r="O12" s="78" t="n"/>
      <c r="P12" s="78" t="n"/>
      <c r="Q12" s="78" t="n"/>
      <c r="R12" s="80" t="n"/>
      <c r="S12" s="80" t="n"/>
      <c r="T12" s="79" t="n"/>
      <c r="U12" s="79" t="n"/>
      <c r="V12" s="80" t="n"/>
      <c r="W12" s="78" t="n"/>
      <c r="X12" s="78" t="n"/>
      <c r="Y12" s="78" t="n"/>
      <c r="Z12" s="78" t="n"/>
      <c r="AA12" s="81" t="n"/>
      <c r="AB12" s="77" t="n"/>
      <c r="AC12" s="78" t="n"/>
      <c r="AD12" s="78" t="n"/>
      <c r="AE12" s="78" t="n"/>
      <c r="AF12" s="78" t="n"/>
      <c r="AG12" s="82" t="n"/>
      <c r="AH12" s="82" t="n"/>
      <c r="AI12" s="82" t="n"/>
      <c r="AJ12" s="82" t="n"/>
      <c r="AK12" s="82" t="n"/>
      <c r="AL12" s="78" t="n"/>
      <c r="AM12" s="78" t="n"/>
      <c r="AN12" s="78" t="n"/>
      <c r="AO12" s="78" t="n"/>
      <c r="AP12" s="81" t="n"/>
      <c r="AQ12" s="77" t="n"/>
      <c r="AR12" s="78" t="n"/>
      <c r="AS12" s="78" t="n"/>
      <c r="AT12" s="78" t="n"/>
      <c r="AU12" s="78" t="n"/>
      <c r="AV12" s="83" t="n"/>
      <c r="AW12" s="83" t="n"/>
      <c r="AX12" s="83" t="n"/>
      <c r="AY12" s="83" t="n"/>
      <c r="AZ12" s="83" t="n"/>
      <c r="BA12" s="78" t="n"/>
      <c r="BB12" s="78" t="n"/>
      <c r="BC12" s="78" t="n"/>
      <c r="BD12" s="78" t="n"/>
      <c r="BE12" s="81" t="n"/>
      <c r="BF12" s="77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81" t="n"/>
      <c r="BU12" s="38" t="n"/>
      <c r="BV12" s="39" t="n"/>
    </row>
    <row r="13" ht="23.1" customHeight="1" s="240">
      <c r="B13" s="150" t="inlineStr">
        <is>
          <t>1.3</t>
        </is>
      </c>
      <c r="C13" t="inlineStr">
        <is>
          <t>Validar exportación correcta y legible por herramientas externas.</t>
        </is>
      </c>
      <c r="D13" s="152" t="inlineStr">
        <is>
          <t>Yersson</t>
        </is>
      </c>
      <c r="E13" s="153" t="n">
        <v>1</v>
      </c>
      <c r="F13" s="154" t="n">
        <v>1</v>
      </c>
      <c r="G13" s="155">
        <f>E13-F13</f>
        <v/>
      </c>
      <c r="H13" s="156" t="n"/>
      <c r="I13" s="211" t="n"/>
      <c r="J13" s="211" t="n"/>
      <c r="K13" s="213" t="n"/>
      <c r="L13" s="201">
        <f>IFERROR(F13/E13,"")</f>
        <v/>
      </c>
      <c r="M13" s="77" t="n"/>
      <c r="N13" s="78" t="n"/>
      <c r="O13" s="78" t="n"/>
      <c r="P13" s="78" t="n"/>
      <c r="Q13" s="78" t="n"/>
      <c r="R13" s="80" t="n"/>
      <c r="S13" s="80" t="n"/>
      <c r="T13" s="79" t="n"/>
      <c r="U13" s="79" t="n"/>
      <c r="V13" s="79" t="n"/>
      <c r="W13" s="79" t="n"/>
      <c r="X13" s="79" t="n"/>
      <c r="Y13" s="79" t="n"/>
      <c r="Z13" s="79" t="n"/>
      <c r="AA13" s="81" t="n"/>
      <c r="AB13" s="77" t="n"/>
      <c r="AC13" s="78" t="n"/>
      <c r="AD13" s="78" t="n"/>
      <c r="AE13" s="78" t="n"/>
      <c r="AF13" s="78" t="n"/>
      <c r="AG13" s="82" t="n"/>
      <c r="AH13" s="82" t="n"/>
      <c r="AI13" s="82" t="n"/>
      <c r="AJ13" s="82" t="n"/>
      <c r="AK13" s="82" t="n"/>
      <c r="AL13" s="78" t="n"/>
      <c r="AM13" s="78" t="n"/>
      <c r="AN13" s="78" t="n"/>
      <c r="AO13" s="78" t="n"/>
      <c r="AP13" s="81" t="n"/>
      <c r="AQ13" s="77" t="n"/>
      <c r="AR13" s="78" t="n"/>
      <c r="AS13" s="78" t="n"/>
      <c r="AT13" s="78" t="n"/>
      <c r="AU13" s="78" t="n"/>
      <c r="AV13" s="83" t="n"/>
      <c r="AW13" s="83" t="n"/>
      <c r="AX13" s="83" t="n"/>
      <c r="AY13" s="83" t="n"/>
      <c r="AZ13" s="83" t="n"/>
      <c r="BA13" s="78" t="n"/>
      <c r="BB13" s="78" t="n"/>
      <c r="BC13" s="78" t="n"/>
      <c r="BD13" s="78" t="n"/>
      <c r="BE13" s="81" t="n"/>
      <c r="BF13" s="77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81" t="n"/>
      <c r="BU13" s="38" t="n"/>
      <c r="BV13" s="39" t="n"/>
    </row>
    <row r="14" ht="23.1" customHeight="1" s="240">
      <c r="B14" s="194" t="inlineStr">
        <is>
          <t>2</t>
        </is>
      </c>
      <c r="C14" s="203" t="inlineStr">
        <is>
          <t>HU-21: Soporte Multilenguaje (8h)</t>
        </is>
      </c>
      <c r="D14" s="196" t="n"/>
      <c r="E14" s="197">
        <f>SUM(E15:E17)</f>
        <v/>
      </c>
      <c r="F14" s="197">
        <f>SUM(F15:F17)</f>
        <v/>
      </c>
      <c r="G14" s="199">
        <f>SUM(G15:G17)</f>
        <v/>
      </c>
      <c r="H14" s="200" t="n"/>
      <c r="I14" s="206" t="n">
        <v>46308</v>
      </c>
      <c r="J14" s="206" t="n">
        <v>46312</v>
      </c>
      <c r="K14" s="207">
        <f>J14-I14+1</f>
        <v/>
      </c>
      <c r="L14" s="201">
        <f>IFERROR(F14/E14,"")</f>
        <v/>
      </c>
      <c r="M14" s="73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5" t="n"/>
      <c r="AB14" s="73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5" t="n"/>
      <c r="AQ14" s="73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74" t="n"/>
      <c r="BA14" s="74" t="n"/>
      <c r="BB14" s="74" t="n"/>
      <c r="BC14" s="74" t="n"/>
      <c r="BD14" s="74" t="n"/>
      <c r="BE14" s="75" t="n"/>
      <c r="BF14" s="73" t="n"/>
      <c r="BG14" s="74" t="n"/>
      <c r="BH14" s="74" t="n"/>
      <c r="BI14" s="74" t="n"/>
      <c r="BJ14" s="74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81" t="n"/>
      <c r="BU14" s="38" t="n"/>
      <c r="BV14" s="39" t="n"/>
    </row>
    <row r="15" ht="23.1" customHeight="1" s="240">
      <c r="B15" s="150" t="n">
        <v>2.1</v>
      </c>
      <c r="C15" t="inlineStr">
        <is>
          <t>Crear estructura de archivos para traducción (Español/Quechua).</t>
        </is>
      </c>
      <c r="D15" s="152" t="inlineStr">
        <is>
          <t>Yersson</t>
        </is>
      </c>
      <c r="E15" s="153" t="n">
        <v>4</v>
      </c>
      <c r="F15" s="154" t="n">
        <v>4</v>
      </c>
      <c r="G15" s="155">
        <f>E15-F15</f>
        <v/>
      </c>
      <c r="H15" s="156" t="n"/>
      <c r="I15" s="187" t="n"/>
      <c r="J15" s="187" t="n"/>
      <c r="K15" s="213" t="n"/>
      <c r="L15" s="201">
        <f>IFERROR(F15/E15,"")</f>
        <v/>
      </c>
      <c r="M15" s="77" t="n"/>
      <c r="N15" s="78" t="n"/>
      <c r="O15" s="78" t="n"/>
      <c r="P15" s="78" t="n"/>
      <c r="Q15" s="78" t="n"/>
      <c r="R15" s="80" t="n"/>
      <c r="S15" s="80" t="n"/>
      <c r="T15" s="80" t="n"/>
      <c r="U15" s="80" t="n"/>
      <c r="V15" s="80" t="n"/>
      <c r="W15" s="78" t="n"/>
      <c r="X15" s="78" t="n"/>
      <c r="Y15" s="78" t="n"/>
      <c r="Z15" s="78" t="n"/>
      <c r="AA15" s="81" t="n"/>
      <c r="AB15" s="84" t="n"/>
      <c r="AC15" s="85" t="n"/>
      <c r="AD15" s="85" t="n"/>
      <c r="AE15" s="85" t="n"/>
      <c r="AF15" s="85" t="n"/>
      <c r="AG15" s="82" t="n"/>
      <c r="AH15" s="82" t="n"/>
      <c r="AI15" s="82" t="n"/>
      <c r="AJ15" s="82" t="n"/>
      <c r="AK15" s="82" t="n"/>
      <c r="AL15" s="78" t="n"/>
      <c r="AM15" s="78" t="n"/>
      <c r="AN15" s="78" t="n"/>
      <c r="AO15" s="78" t="n"/>
      <c r="AP15" s="81" t="n"/>
      <c r="AQ15" s="77" t="n"/>
      <c r="AR15" s="78" t="n"/>
      <c r="AS15" s="78" t="n"/>
      <c r="AT15" s="78" t="n"/>
      <c r="AU15" s="78" t="n"/>
      <c r="AV15" s="83" t="n"/>
      <c r="AW15" s="83" t="n"/>
      <c r="AX15" s="83" t="n"/>
      <c r="AY15" s="83" t="n"/>
      <c r="AZ15" s="83" t="n"/>
      <c r="BA15" s="78" t="n"/>
      <c r="BB15" s="78" t="n"/>
      <c r="BC15" s="78" t="n"/>
      <c r="BD15" s="78" t="n"/>
      <c r="BE15" s="81" t="n"/>
      <c r="BF15" s="77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81" t="n"/>
      <c r="BU15" s="38" t="n"/>
      <c r="BV15" s="39" t="n"/>
    </row>
    <row r="16" ht="23.1" customHeight="1" s="240">
      <c r="B16" s="150" t="n">
        <v>2.2</v>
      </c>
      <c r="C16" t="inlineStr">
        <is>
          <t>Traducir textos clave de la interfaz y mensajes del sistema.</t>
        </is>
      </c>
      <c r="D16" s="152" t="inlineStr">
        <is>
          <t>Yersson</t>
        </is>
      </c>
      <c r="E16" s="153" t="n">
        <v>3</v>
      </c>
      <c r="F16" s="154" t="n">
        <v>3</v>
      </c>
      <c r="G16" s="155">
        <f>E16-F16</f>
        <v/>
      </c>
      <c r="H16" s="156" t="n"/>
      <c r="I16" s="187" t="n"/>
      <c r="J16" s="187" t="n"/>
      <c r="K16" s="213" t="n"/>
      <c r="L16" s="201">
        <f>IFERROR(F16/E16,"")</f>
        <v/>
      </c>
      <c r="M16" s="77" t="n"/>
      <c r="N16" s="78" t="n"/>
      <c r="O16" s="78" t="n"/>
      <c r="P16" s="78" t="n"/>
      <c r="Q16" s="78" t="n"/>
      <c r="R16" s="80" t="n"/>
      <c r="S16" s="80" t="n"/>
      <c r="T16" s="80" t="n"/>
      <c r="U16" s="80" t="n"/>
      <c r="V16" s="80" t="n"/>
      <c r="W16" s="78" t="n"/>
      <c r="X16" s="78" t="n"/>
      <c r="Y16" s="78" t="n"/>
      <c r="Z16" s="78" t="n"/>
      <c r="AA16" s="81" t="n"/>
      <c r="AB16" s="77" t="n"/>
      <c r="AC16" s="78" t="n"/>
      <c r="AD16" s="78" t="n"/>
      <c r="AE16" s="78" t="n"/>
      <c r="AF16" s="78" t="n"/>
      <c r="AG16" s="85" t="n"/>
      <c r="AH16" s="85" t="n"/>
      <c r="AI16" s="85" t="n"/>
      <c r="AJ16" s="85" t="n"/>
      <c r="AK16" s="85" t="n"/>
      <c r="AL16" s="78" t="n"/>
      <c r="AM16" s="78" t="n"/>
      <c r="AN16" s="78" t="n"/>
      <c r="AO16" s="78" t="n"/>
      <c r="AP16" s="81" t="n"/>
      <c r="AQ16" s="77" t="n"/>
      <c r="AR16" s="78" t="n"/>
      <c r="AS16" s="78" t="n"/>
      <c r="AT16" s="78" t="n"/>
      <c r="AU16" s="78" t="n"/>
      <c r="AV16" s="83" t="n"/>
      <c r="AW16" s="83" t="n"/>
      <c r="AX16" s="83" t="n"/>
      <c r="AY16" s="83" t="n"/>
      <c r="AZ16" s="83" t="n"/>
      <c r="BA16" s="78" t="n"/>
      <c r="BB16" s="78" t="n"/>
      <c r="BC16" s="78" t="n"/>
      <c r="BD16" s="78" t="n"/>
      <c r="BE16" s="81" t="n"/>
      <c r="BF16" s="77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81" t="n"/>
      <c r="BU16" s="38" t="n"/>
      <c r="BV16" s="39" t="n"/>
    </row>
    <row r="17" ht="23.1" customHeight="1" s="240">
      <c r="B17" s="150" t="n">
        <v>2.3</v>
      </c>
      <c r="C17" t="inlineStr">
        <is>
          <t>Implementar cambio dinámico de idioma desde la configuración.</t>
        </is>
      </c>
      <c r="D17" s="152" t="inlineStr">
        <is>
          <t>Yersson</t>
        </is>
      </c>
      <c r="E17" s="153" t="n">
        <v>1</v>
      </c>
      <c r="F17" s="154" t="n">
        <v>1</v>
      </c>
      <c r="G17" s="155">
        <f>E17-F17</f>
        <v/>
      </c>
      <c r="H17" s="156" t="n"/>
      <c r="I17" s="187" t="n"/>
      <c r="J17" s="187" t="n"/>
      <c r="K17" s="213" t="n"/>
      <c r="L17" s="201">
        <f>IFERROR(F17/E17,"")</f>
        <v/>
      </c>
      <c r="M17" s="77" t="n"/>
      <c r="N17" s="78" t="n"/>
      <c r="O17" s="78" t="n"/>
      <c r="P17" s="78" t="n"/>
      <c r="Q17" s="78" t="n"/>
      <c r="R17" s="80" t="n"/>
      <c r="S17" s="80" t="n"/>
      <c r="T17" s="80" t="n"/>
      <c r="U17" s="80" t="n"/>
      <c r="V17" s="80" t="n"/>
      <c r="W17" s="78" t="n"/>
      <c r="X17" s="78" t="n"/>
      <c r="Y17" s="78" t="n"/>
      <c r="Z17" s="78" t="n"/>
      <c r="AA17" s="81" t="n"/>
      <c r="AB17" s="77" t="n"/>
      <c r="AC17" s="78" t="n"/>
      <c r="AD17" s="78" t="n"/>
      <c r="AE17" s="78" t="n"/>
      <c r="AF17" s="78" t="n"/>
      <c r="AG17" s="82" t="n"/>
      <c r="AH17" s="82" t="n"/>
      <c r="AI17" s="82" t="n"/>
      <c r="AJ17" s="82" t="n"/>
      <c r="AK17" s="82" t="n"/>
      <c r="AL17" s="78" t="n"/>
      <c r="AM17" s="78" t="n"/>
      <c r="AN17" s="78" t="n"/>
      <c r="AO17" s="78" t="n"/>
      <c r="AP17" s="81" t="n"/>
      <c r="AQ17" s="77" t="n"/>
      <c r="AR17" s="78" t="n"/>
      <c r="AS17" s="78" t="n"/>
      <c r="AT17" s="78" t="n"/>
      <c r="AU17" s="78" t="n"/>
      <c r="AV17" s="83" t="n"/>
      <c r="AW17" s="83" t="n"/>
      <c r="AX17" s="83" t="n"/>
      <c r="AY17" s="83" t="n"/>
      <c r="AZ17" s="83" t="n"/>
      <c r="BA17" s="78" t="n"/>
      <c r="BB17" s="78" t="n"/>
      <c r="BC17" s="78" t="n"/>
      <c r="BD17" s="78" t="n"/>
      <c r="BE17" s="81" t="n"/>
      <c r="BF17" s="77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81" t="n"/>
      <c r="BU17" s="38" t="n"/>
      <c r="BV17" s="39" t="n"/>
    </row>
    <row r="18" ht="23.1" customHeight="1" s="240">
      <c r="B18" s="194" t="n">
        <v>3</v>
      </c>
      <c r="C18" s="203" t="inlineStr">
        <is>
          <t>HU-30: Manual de Usuario (8h)</t>
        </is>
      </c>
      <c r="D18" s="196" t="n"/>
      <c r="E18" s="197">
        <f>SUM(E19:E21)</f>
        <v/>
      </c>
      <c r="F18" s="197">
        <f>SUM(F19:F21)</f>
        <v/>
      </c>
      <c r="G18" s="199">
        <f>SUM(G19:G21)</f>
        <v/>
      </c>
      <c r="H18" s="200" t="n"/>
      <c r="I18" s="206" t="n">
        <v>46308</v>
      </c>
      <c r="J18" s="206" t="n">
        <v>46312</v>
      </c>
      <c r="K18" s="207">
        <f>J18-I18+1</f>
        <v/>
      </c>
      <c r="L18" s="201">
        <f>IFERROR(F18/E18,"")</f>
        <v/>
      </c>
      <c r="M18" s="73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5" t="n"/>
      <c r="AB18" s="73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5" t="n"/>
      <c r="AQ18" s="73" t="n"/>
      <c r="AR18" s="74" t="n"/>
      <c r="AS18" s="74" t="n"/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/>
      <c r="BD18" s="74" t="n"/>
      <c r="BE18" s="75" t="n"/>
      <c r="BF18" s="73" t="n"/>
      <c r="BG18" s="74" t="n"/>
      <c r="BH18" s="74" t="n"/>
      <c r="BI18" s="74" t="n"/>
      <c r="BJ18" s="74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81" t="n"/>
      <c r="BU18" s="38" t="n"/>
      <c r="BV18" s="39" t="n"/>
    </row>
    <row r="19" ht="23.1" customHeight="1" s="240">
      <c r="B19" s="150" t="n">
        <v>3.1</v>
      </c>
      <c r="C19" t="inlineStr">
        <is>
          <t>Redactar guía detallada con pasos para usar el sistema.</t>
        </is>
      </c>
      <c r="D19" s="152" t="inlineStr">
        <is>
          <t>Alejandro</t>
        </is>
      </c>
      <c r="E19" s="153" t="n">
        <v>4</v>
      </c>
      <c r="F19" s="154" t="n">
        <v>4</v>
      </c>
      <c r="G19" s="155">
        <f>E19-F19</f>
        <v/>
      </c>
      <c r="H19" s="156" t="n"/>
      <c r="I19" s="157" t="n"/>
      <c r="J19" s="158" t="n"/>
      <c r="K19" s="213" t="n"/>
      <c r="L19" s="201">
        <f>IFERROR(F19/E19,"")</f>
        <v/>
      </c>
      <c r="M19" s="77" t="n"/>
      <c r="N19" s="78" t="n"/>
      <c r="O19" s="78" t="n"/>
      <c r="P19" s="78" t="n"/>
      <c r="Q19" s="78" t="n"/>
      <c r="R19" s="80" t="n"/>
      <c r="S19" s="80" t="n"/>
      <c r="T19" s="80" t="n"/>
      <c r="U19" s="80" t="n"/>
      <c r="V19" s="80" t="n"/>
      <c r="W19" s="78" t="n"/>
      <c r="X19" s="78" t="n"/>
      <c r="Y19" s="78" t="n"/>
      <c r="Z19" s="78" t="n"/>
      <c r="AA19" s="81" t="n"/>
      <c r="AB19" s="77" t="n"/>
      <c r="AC19" s="78" t="n"/>
      <c r="AD19" s="78" t="n"/>
      <c r="AE19" s="78" t="n"/>
      <c r="AF19" s="78" t="n"/>
      <c r="AG19" s="82" t="n"/>
      <c r="AH19" s="82" t="n"/>
      <c r="AI19" s="82" t="n"/>
      <c r="AJ19" s="82" t="n"/>
      <c r="AK19" s="82" t="n"/>
      <c r="AL19" s="78" t="n"/>
      <c r="AM19" s="78" t="n"/>
      <c r="AN19" s="78" t="n"/>
      <c r="AO19" s="78" t="n"/>
      <c r="AP19" s="81" t="n"/>
      <c r="AQ19" s="77" t="n"/>
      <c r="AR19" s="78" t="n"/>
      <c r="AS19" s="78" t="n"/>
      <c r="AT19" s="78" t="n"/>
      <c r="AU19" s="78" t="n"/>
      <c r="AV19" s="83" t="n"/>
      <c r="AW19" s="83" t="n"/>
      <c r="AX19" s="83" t="n"/>
      <c r="AY19" s="83" t="n"/>
      <c r="AZ19" s="83" t="n"/>
      <c r="BA19" s="78" t="n"/>
      <c r="BB19" s="78" t="n"/>
      <c r="BC19" s="78" t="n"/>
      <c r="BD19" s="78" t="n"/>
      <c r="BE19" s="81" t="n"/>
      <c r="BF19" s="77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81" t="n"/>
      <c r="BU19" s="38" t="n"/>
      <c r="BV19" s="39" t="n"/>
    </row>
    <row r="20" ht="23.1" customHeight="1" s="240">
      <c r="B20" s="150" t="n">
        <v>3.2</v>
      </c>
      <c r="C20" t="inlineStr">
        <is>
          <t>Incluir capturas de pantalla y ejemplos de diagnóstico.</t>
        </is>
      </c>
      <c r="D20" s="152" t="inlineStr">
        <is>
          <t>Alejandro</t>
        </is>
      </c>
      <c r="E20" s="153" t="n">
        <v>2</v>
      </c>
      <c r="F20" s="154" t="n">
        <v>2</v>
      </c>
      <c r="G20" s="155">
        <f>E20-F20</f>
        <v/>
      </c>
      <c r="H20" s="156" t="n"/>
      <c r="I20" s="157" t="n"/>
      <c r="J20" s="158" t="n"/>
      <c r="K20" s="213" t="n"/>
      <c r="L20" s="201">
        <f>IFERROR(F20/E20,"")</f>
        <v/>
      </c>
      <c r="M20" s="77" t="n"/>
      <c r="N20" s="78" t="n"/>
      <c r="O20" s="78" t="n"/>
      <c r="P20" s="78" t="n"/>
      <c r="Q20" s="78" t="n"/>
      <c r="R20" s="80" t="n"/>
      <c r="S20" s="80" t="n"/>
      <c r="T20" s="80" t="n"/>
      <c r="U20" s="80" t="n"/>
      <c r="V20" s="80" t="n"/>
      <c r="W20" s="78" t="n"/>
      <c r="X20" s="78" t="n"/>
      <c r="Y20" s="78" t="n"/>
      <c r="Z20" s="78" t="n"/>
      <c r="AA20" s="81" t="n"/>
      <c r="AB20" s="77" t="n"/>
      <c r="AC20" s="78" t="n"/>
      <c r="AD20" s="78" t="n"/>
      <c r="AE20" s="78" t="n"/>
      <c r="AF20" s="78" t="n"/>
      <c r="AG20" s="82" t="n"/>
      <c r="AH20" s="82" t="n"/>
      <c r="AI20" s="82" t="n"/>
      <c r="AJ20" s="82" t="n"/>
      <c r="AK20" s="82" t="n"/>
      <c r="AL20" s="78" t="n"/>
      <c r="AM20" s="78" t="n"/>
      <c r="AN20" s="78" t="n"/>
      <c r="AO20" s="78" t="n"/>
      <c r="AP20" s="81" t="n"/>
      <c r="AQ20" s="77" t="n"/>
      <c r="AR20" s="78" t="n"/>
      <c r="AS20" s="78" t="n"/>
      <c r="AT20" s="78" t="n"/>
      <c r="AU20" s="78" t="n"/>
      <c r="AV20" s="83" t="n"/>
      <c r="AW20" s="83" t="n"/>
      <c r="AX20" s="83" t="n"/>
      <c r="AY20" s="83" t="n"/>
      <c r="AZ20" s="83" t="n"/>
      <c r="BA20" s="78" t="n"/>
      <c r="BB20" s="78" t="n"/>
      <c r="BC20" s="78" t="n"/>
      <c r="BD20" s="78" t="n"/>
      <c r="BE20" s="81" t="n"/>
      <c r="BF20" s="77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81" t="n"/>
      <c r="BU20" s="38" t="n"/>
      <c r="BV20" s="39" t="n"/>
    </row>
    <row r="21" ht="23.1" customHeight="1" s="240">
      <c r="B21" s="150" t="inlineStr">
        <is>
          <t>3.3</t>
        </is>
      </c>
      <c r="C21" t="inlineStr">
        <is>
          <t>Publicar el manual en formato PDF y en línea (web).</t>
        </is>
      </c>
      <c r="D21" s="152" t="inlineStr">
        <is>
          <t>Alejandro</t>
        </is>
      </c>
      <c r="E21" s="153" t="n">
        <v>2</v>
      </c>
      <c r="F21" s="154" t="n">
        <v>2</v>
      </c>
      <c r="G21" s="155">
        <f>E21-F21</f>
        <v/>
      </c>
      <c r="H21" s="163" t="n"/>
      <c r="I21" s="157" t="n"/>
      <c r="J21" s="158" t="n"/>
      <c r="K21" s="213" t="n"/>
      <c r="L21" s="201">
        <f>IFERROR(F21/E21,"")</f>
        <v/>
      </c>
      <c r="M21" s="77" t="n"/>
      <c r="N21" s="78" t="n"/>
      <c r="O21" s="78" t="n"/>
      <c r="P21" s="78" t="n"/>
      <c r="Q21" s="78" t="n"/>
      <c r="R21" s="80" t="n"/>
      <c r="S21" s="80" t="n"/>
      <c r="T21" s="80" t="n"/>
      <c r="U21" s="80" t="n"/>
      <c r="V21" s="80" t="n"/>
      <c r="W21" s="78" t="n"/>
      <c r="X21" s="78" t="n"/>
      <c r="Y21" s="78" t="n"/>
      <c r="Z21" s="78" t="n"/>
      <c r="AA21" s="81" t="n"/>
      <c r="AB21" s="77" t="n"/>
      <c r="AC21" s="78" t="n"/>
      <c r="AD21" s="78" t="n"/>
      <c r="AE21" s="78" t="n"/>
      <c r="AF21" s="78" t="n"/>
      <c r="AG21" s="82" t="n"/>
      <c r="AH21" s="82" t="n"/>
      <c r="AI21" s="82" t="n"/>
      <c r="AJ21" s="82" t="n"/>
      <c r="AK21" s="82" t="n"/>
      <c r="AL21" s="78" t="n"/>
      <c r="AM21" s="78" t="n"/>
      <c r="AN21" s="78" t="n"/>
      <c r="AO21" s="78" t="n"/>
      <c r="AP21" s="81" t="n"/>
      <c r="AQ21" s="77" t="n"/>
      <c r="AR21" s="78" t="n"/>
      <c r="AS21" s="78" t="n"/>
      <c r="AT21" s="78" t="n"/>
      <c r="AU21" s="78" t="n"/>
      <c r="AV21" s="83" t="n"/>
      <c r="AW21" s="83" t="n"/>
      <c r="AX21" s="83" t="n"/>
      <c r="AY21" s="83" t="n"/>
      <c r="AZ21" s="83" t="n"/>
      <c r="BA21" s="78" t="n"/>
      <c r="BB21" s="78" t="n"/>
      <c r="BC21" s="78" t="n"/>
      <c r="BD21" s="78" t="n"/>
      <c r="BE21" s="81" t="n"/>
      <c r="BF21" s="77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81" t="n"/>
      <c r="BU21" s="38" t="n"/>
      <c r="BV21" s="39" t="n"/>
    </row>
    <row r="22" ht="23.1" customHeight="1" s="240">
      <c r="B22" s="194" t="inlineStr">
        <is>
          <t>4</t>
        </is>
      </c>
      <c r="C22" s="203" t="inlineStr">
        <is>
          <t>HU-29: Documentación Técnica (12h)</t>
        </is>
      </c>
      <c r="D22" s="196" t="n"/>
      <c r="E22" s="197">
        <f>SUM(E23:E25)</f>
        <v/>
      </c>
      <c r="F22" s="197">
        <f>SUM(F23:F25)</f>
        <v/>
      </c>
      <c r="G22" s="199">
        <f>SUM(G23:G25)</f>
        <v/>
      </c>
      <c r="H22" s="200" t="n"/>
      <c r="I22" s="206" t="n">
        <v>46308</v>
      </c>
      <c r="J22" s="206" t="n">
        <v>46312</v>
      </c>
      <c r="K22" s="207">
        <f>J22-I22+1</f>
        <v/>
      </c>
      <c r="L22" s="201">
        <f>IFERROR(F22/E22,"")</f>
        <v/>
      </c>
      <c r="M22" s="73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5" t="n"/>
      <c r="AB22" s="73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5" t="n"/>
      <c r="AQ22" s="73" t="n"/>
      <c r="AR22" s="74" t="n"/>
      <c r="AS22" s="74" t="n"/>
      <c r="AT22" s="74" t="n"/>
      <c r="AU22" s="74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74" t="n"/>
      <c r="BE22" s="75" t="n"/>
      <c r="BF22" s="73" t="n"/>
      <c r="BG22" s="74" t="n"/>
      <c r="BH22" s="74" t="n"/>
      <c r="BI22" s="74" t="n"/>
      <c r="BJ22" s="74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81" t="n"/>
      <c r="BU22" s="38" t="n"/>
      <c r="BV22" s="39" t="n"/>
    </row>
    <row r="23" ht="23.1" customHeight="1" s="240">
      <c r="B23" s="150" t="inlineStr">
        <is>
          <t>4.1</t>
        </is>
      </c>
      <c r="C23" t="inlineStr">
        <is>
          <t>Documentar arquitectura general del sistema y modelo CNN.</t>
        </is>
      </c>
      <c r="D23" s="152" t="inlineStr">
        <is>
          <t>Andree</t>
        </is>
      </c>
      <c r="E23" s="153" t="n">
        <v>4</v>
      </c>
      <c r="F23" s="154" t="n">
        <v>4</v>
      </c>
      <c r="G23" s="155">
        <f>E23-F23</f>
        <v/>
      </c>
      <c r="H23" s="156" t="n"/>
      <c r="I23" s="157" t="n"/>
      <c r="J23" s="158" t="n"/>
      <c r="K23" s="213" t="n"/>
      <c r="L23" s="201">
        <f>IFERROR(F23/E23,"")</f>
        <v/>
      </c>
      <c r="M23" s="77" t="n"/>
      <c r="N23" s="78" t="n"/>
      <c r="O23" s="78" t="n"/>
      <c r="P23" s="78" t="n"/>
      <c r="Q23" s="78" t="n"/>
      <c r="R23" s="80" t="n"/>
      <c r="S23" s="80" t="n"/>
      <c r="T23" s="80" t="n"/>
      <c r="U23" s="80" t="n"/>
      <c r="V23" s="80" t="n"/>
      <c r="W23" s="78" t="n"/>
      <c r="X23" s="78" t="n"/>
      <c r="Y23" s="78" t="n"/>
      <c r="Z23" s="78" t="n"/>
      <c r="AA23" s="81" t="n"/>
      <c r="AB23" s="77" t="n"/>
      <c r="AC23" s="78" t="n"/>
      <c r="AD23" s="78" t="n"/>
      <c r="AE23" s="78" t="n"/>
      <c r="AF23" s="78" t="n"/>
      <c r="AG23" s="82" t="n"/>
      <c r="AH23" s="82" t="n"/>
      <c r="AI23" s="82" t="n"/>
      <c r="AJ23" s="82" t="n"/>
      <c r="AK23" s="82" t="n"/>
      <c r="AL23" s="78" t="n"/>
      <c r="AM23" s="78" t="n"/>
      <c r="AN23" s="78" t="n"/>
      <c r="AO23" s="78" t="n"/>
      <c r="AP23" s="81" t="n"/>
      <c r="AQ23" s="77" t="n"/>
      <c r="AR23" s="78" t="n"/>
      <c r="AS23" s="78" t="n"/>
      <c r="AT23" s="78" t="n"/>
      <c r="AU23" s="78" t="n"/>
      <c r="AV23" s="83" t="n"/>
      <c r="AW23" s="83" t="n"/>
      <c r="AX23" s="83" t="n"/>
      <c r="AY23" s="83" t="n"/>
      <c r="AZ23" s="83" t="n"/>
      <c r="BA23" s="78" t="n"/>
      <c r="BB23" s="78" t="n"/>
      <c r="BC23" s="78" t="n"/>
      <c r="BD23" s="78" t="n"/>
      <c r="BE23" s="81" t="n"/>
      <c r="BF23" s="77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81" t="n"/>
      <c r="BU23" s="38" t="n"/>
      <c r="BV23" s="39" t="n"/>
    </row>
    <row r="24" ht="23.1" customHeight="1" s="240">
      <c r="B24" s="150" t="inlineStr">
        <is>
          <t>4.2</t>
        </is>
      </c>
      <c r="C24" t="inlineStr">
        <is>
          <t>Describir dependencias, instalación y flujo de datos.</t>
        </is>
      </c>
      <c r="D24" s="152" t="inlineStr">
        <is>
          <t>Andree</t>
        </is>
      </c>
      <c r="E24" s="153" t="n">
        <v>4</v>
      </c>
      <c r="F24" s="154" t="n">
        <v>4</v>
      </c>
      <c r="G24" s="155">
        <f>E24-F24</f>
        <v/>
      </c>
      <c r="H24" s="156" t="n"/>
      <c r="I24" s="157" t="n"/>
      <c r="J24" s="158" t="n"/>
      <c r="K24" s="213" t="n"/>
      <c r="L24" s="201">
        <f>IFERROR(F24/E24,"")</f>
        <v/>
      </c>
      <c r="M24" s="77" t="n"/>
      <c r="N24" s="78" t="n"/>
      <c r="O24" s="78" t="n"/>
      <c r="P24" s="78" t="n"/>
      <c r="Q24" s="78" t="n"/>
      <c r="R24" s="80" t="n"/>
      <c r="S24" s="80" t="n"/>
      <c r="T24" s="80" t="n"/>
      <c r="U24" s="80" t="n"/>
      <c r="V24" s="80" t="n"/>
      <c r="W24" s="78" t="n"/>
      <c r="X24" s="78" t="n"/>
      <c r="Y24" s="78" t="n"/>
      <c r="Z24" s="78" t="n"/>
      <c r="AA24" s="81" t="n"/>
      <c r="AB24" s="77" t="n"/>
      <c r="AC24" s="78" t="n"/>
      <c r="AD24" s="78" t="n"/>
      <c r="AE24" s="78" t="n"/>
      <c r="AF24" s="78" t="n"/>
      <c r="AG24" s="82" t="n"/>
      <c r="AH24" s="82" t="n"/>
      <c r="AI24" s="82" t="n"/>
      <c r="AJ24" s="82" t="n"/>
      <c r="AK24" s="82" t="n"/>
      <c r="AL24" s="78" t="n"/>
      <c r="AM24" s="78" t="n"/>
      <c r="AN24" s="78" t="n"/>
      <c r="AO24" s="78" t="n"/>
      <c r="AP24" s="81" t="n"/>
      <c r="AQ24" s="77" t="n"/>
      <c r="AR24" s="78" t="n"/>
      <c r="AS24" s="78" t="n"/>
      <c r="AT24" s="78" t="n"/>
      <c r="AU24" s="78" t="n"/>
      <c r="AV24" s="83" t="n"/>
      <c r="AW24" s="83" t="n"/>
      <c r="AX24" s="83" t="n"/>
      <c r="AY24" s="83" t="n"/>
      <c r="AZ24" s="83" t="n"/>
      <c r="BA24" s="78" t="n"/>
      <c r="BB24" s="78" t="n"/>
      <c r="BC24" s="78" t="n"/>
      <c r="BD24" s="78" t="n"/>
      <c r="BE24" s="81" t="n"/>
      <c r="BF24" s="77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81" t="n"/>
      <c r="BU24" s="38" t="n"/>
      <c r="BV24" s="39" t="n"/>
    </row>
    <row r="25" ht="23.1" customHeight="1" s="240">
      <c r="B25" s="150" t="inlineStr">
        <is>
          <t>4.3</t>
        </is>
      </c>
      <c r="C25" t="inlineStr">
        <is>
          <t>Crear diagrama final del sistema y anexar resultados finales.</t>
        </is>
      </c>
      <c r="D25" s="152" t="inlineStr">
        <is>
          <t>Andree</t>
        </is>
      </c>
      <c r="E25" s="153" t="n">
        <v>4</v>
      </c>
      <c r="F25" s="154" t="n">
        <v>4</v>
      </c>
      <c r="G25" s="155">
        <f>E25-F25</f>
        <v/>
      </c>
      <c r="H25" s="156" t="n"/>
      <c r="I25" s="157" t="n"/>
      <c r="J25" s="158" t="n"/>
      <c r="K25" s="213" t="n"/>
      <c r="L25" s="201">
        <f>IFERROR(F25/E25,"")</f>
        <v/>
      </c>
      <c r="M25" s="77" t="n"/>
      <c r="N25" s="78" t="n"/>
      <c r="O25" s="78" t="n"/>
      <c r="P25" s="78" t="n"/>
      <c r="Q25" s="78" t="n"/>
      <c r="R25" s="80" t="n"/>
      <c r="S25" s="80" t="n"/>
      <c r="T25" s="80" t="n"/>
      <c r="U25" s="80" t="n"/>
      <c r="V25" s="80" t="n"/>
      <c r="W25" s="78" t="n"/>
      <c r="X25" s="78" t="n"/>
      <c r="Y25" s="78" t="n"/>
      <c r="Z25" s="78" t="n"/>
      <c r="AA25" s="81" t="n"/>
      <c r="AB25" s="77" t="n"/>
      <c r="AC25" s="78" t="n"/>
      <c r="AD25" s="78" t="n"/>
      <c r="AE25" s="78" t="n"/>
      <c r="AF25" s="78" t="n"/>
      <c r="AG25" s="82" t="n"/>
      <c r="AH25" s="82" t="n"/>
      <c r="AI25" s="82" t="n"/>
      <c r="AJ25" s="82" t="n"/>
      <c r="AK25" s="82" t="n"/>
      <c r="AL25" s="78" t="n"/>
      <c r="AM25" s="78" t="n"/>
      <c r="AN25" s="78" t="n"/>
      <c r="AO25" s="78" t="n"/>
      <c r="AP25" s="81" t="n"/>
      <c r="AQ25" s="77" t="n"/>
      <c r="AR25" s="78" t="n"/>
      <c r="AS25" s="78" t="n"/>
      <c r="AT25" s="78" t="n"/>
      <c r="AU25" s="78" t="n"/>
      <c r="AV25" s="83" t="n"/>
      <c r="AW25" s="83" t="n"/>
      <c r="AX25" s="83" t="n"/>
      <c r="AY25" s="83" t="n"/>
      <c r="AZ25" s="83" t="n"/>
      <c r="BA25" s="78" t="n"/>
      <c r="BB25" s="78" t="n"/>
      <c r="BC25" s="78" t="n"/>
      <c r="BD25" s="78" t="n"/>
      <c r="BE25" s="81" t="n"/>
      <c r="BF25" s="77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81" t="n"/>
      <c r="BU25" s="38" t="n"/>
      <c r="BV25" s="39" t="n"/>
    </row>
    <row r="26" ht="23.1" customHeight="1" s="240">
      <c r="B26" s="38" t="n"/>
      <c r="C26" s="38" t="n"/>
      <c r="D26" s="223" t="n"/>
      <c r="E26" s="224" t="inlineStr">
        <is>
          <t>ESTIMAR</t>
        </is>
      </c>
      <c r="F26" s="224" t="inlineStr">
        <is>
          <t>COMPLETADO</t>
        </is>
      </c>
      <c r="G26" s="224" t="inlineStr">
        <is>
          <t>RESTANTE</t>
        </is>
      </c>
      <c r="H26" s="224" t="inlineStr">
        <is>
          <t>DÍAS</t>
        </is>
      </c>
      <c r="I26" s="224" t="inlineStr">
        <is>
          <t>EST/ DÍAS</t>
        </is>
      </c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9" t="n"/>
    </row>
    <row r="27" ht="23.1" customHeight="1" s="240">
      <c r="B27" s="38" t="n"/>
      <c r="C27" s="36" t="inlineStr">
        <is>
          <t>DATOS DE DESGASTE</t>
        </is>
      </c>
      <c r="D27" s="215" t="inlineStr">
        <is>
          <t>TOTAL DE HORAS</t>
        </is>
      </c>
      <c r="E27" s="216">
        <f>SUM(E11:E13,E15:E17,E19:E21,E23:E25)</f>
        <v/>
      </c>
      <c r="F27" s="216">
        <f>SUM(F11:F13,F15:F17,F19:F21,F23:F25)</f>
        <v/>
      </c>
      <c r="G27" s="216">
        <f>SUM(G11:G13,G15:G17,G19:G21,G23:G25)</f>
        <v/>
      </c>
      <c r="H27" s="217" t="n">
        <v>5</v>
      </c>
      <c r="I27" s="218">
        <f>E27/H27</f>
        <v/>
      </c>
      <c r="J27" s="38" t="n"/>
      <c r="K27" s="38" t="n"/>
      <c r="L27" s="182" t="inlineStr">
        <is>
          <t>DÍA</t>
        </is>
      </c>
      <c r="M27" s="95" t="n">
        <v>1</v>
      </c>
      <c r="N27" s="95" t="n">
        <v>2</v>
      </c>
      <c r="O27" s="95" t="n">
        <v>3</v>
      </c>
      <c r="P27" s="95" t="n">
        <v>4</v>
      </c>
      <c r="Q27" s="95" t="n">
        <v>5</v>
      </c>
      <c r="R27" s="95" t="n"/>
      <c r="S27" s="95" t="n"/>
      <c r="T27" s="95" t="n"/>
      <c r="U27" s="95" t="n"/>
      <c r="V27" s="95" t="n"/>
      <c r="W27" s="95" t="n"/>
      <c r="X27" s="95" t="n"/>
      <c r="Y27" s="95" t="n"/>
      <c r="Z27" s="95" t="n"/>
      <c r="AA27" s="95" t="n"/>
      <c r="AB27" s="95" t="n"/>
      <c r="AC27" s="95" t="n"/>
      <c r="AD27" s="95" t="n"/>
      <c r="AE27" s="95" t="n"/>
      <c r="AF27" s="95" t="n"/>
      <c r="AG27" s="95" t="n"/>
      <c r="AH27" s="95" t="n"/>
      <c r="AI27" s="95" t="n"/>
      <c r="AJ27" s="95" t="n"/>
      <c r="AK27" s="95" t="n"/>
      <c r="AL27" s="95" t="n"/>
      <c r="AM27" s="95" t="n"/>
      <c r="AN27" s="95" t="n"/>
      <c r="AO27" s="95" t="n"/>
      <c r="AP27" s="95" t="n"/>
      <c r="AQ27" s="95" t="n"/>
      <c r="AR27" s="95" t="n"/>
      <c r="AS27" s="95" t="n"/>
      <c r="AT27" s="95" t="n"/>
      <c r="AU27" s="95" t="n"/>
      <c r="AV27" s="95" t="n"/>
      <c r="AW27" s="95" t="n"/>
      <c r="AX27" s="95" t="n"/>
      <c r="AY27" s="95" t="n"/>
      <c r="AZ27" s="95" t="n"/>
      <c r="BA27" s="95" t="n"/>
      <c r="BB27" s="95" t="n"/>
      <c r="BC27" s="95" t="n"/>
      <c r="BD27" s="95" t="n"/>
      <c r="BE27" s="95" t="n"/>
      <c r="BF27" s="95" t="n"/>
      <c r="BG27" s="95" t="n"/>
      <c r="BH27" s="95" t="n"/>
      <c r="BI27" s="95" t="n"/>
      <c r="BJ27" s="95" t="n"/>
      <c r="BK27" s="95" t="n"/>
      <c r="BL27" s="95" t="n"/>
      <c r="BM27" s="95" t="n"/>
      <c r="BN27" s="95" t="n"/>
      <c r="BO27" s="95" t="n"/>
      <c r="BP27" s="95" t="n"/>
      <c r="BQ27" s="95" t="n"/>
      <c r="BR27" s="95" t="n"/>
      <c r="BS27" s="95" t="n"/>
      <c r="BT27" s="95" t="n"/>
      <c r="BU27" s="38" t="n"/>
      <c r="BV27" s="137" t="inlineStr">
        <is>
          <t>TOTAL</t>
        </is>
      </c>
    </row>
    <row r="28" ht="23.1" customHeight="1" s="240">
      <c r="B28" s="38" t="n"/>
      <c r="C28" s="38" t="n"/>
      <c r="D28" s="38" t="n"/>
      <c r="E28" s="38" t="n"/>
      <c r="F28" s="38" t="n"/>
      <c r="G28" s="38" t="n"/>
      <c r="H28" s="96" t="inlineStr">
        <is>
          <t xml:space="preserve">     ^ Introduzca el número de días</t>
        </is>
      </c>
      <c r="I28" s="38" t="n"/>
      <c r="J28" s="38" t="n"/>
      <c r="K28" s="38" t="n"/>
      <c r="L28" s="182" t="inlineStr">
        <is>
          <t>PLAN</t>
        </is>
      </c>
      <c r="M28" s="97">
        <f>E27</f>
        <v/>
      </c>
      <c r="N28" s="98">
        <f>M28-I27</f>
        <v/>
      </c>
      <c r="O28" s="98">
        <f>N28-I27</f>
        <v/>
      </c>
      <c r="P28" s="98">
        <f>O28-I27</f>
        <v/>
      </c>
      <c r="Q28" s="98">
        <f>P28-I27</f>
        <v/>
      </c>
      <c r="R28" s="98" t="n"/>
      <c r="S28" s="98" t="n"/>
      <c r="T28" s="98" t="n"/>
      <c r="U28" s="98" t="n"/>
      <c r="V28" s="98" t="n"/>
      <c r="W28" s="98" t="n"/>
      <c r="X28" s="98" t="n"/>
      <c r="Y28" s="98" t="n"/>
      <c r="Z28" s="98" t="n"/>
      <c r="AA28" s="98" t="n"/>
      <c r="AB28" s="98" t="n"/>
      <c r="AC28" s="98" t="n"/>
      <c r="AD28" s="98" t="n"/>
      <c r="AE28" s="98" t="n"/>
      <c r="AF28" s="98" t="n"/>
      <c r="AG28" s="98" t="n"/>
      <c r="AH28" s="98" t="n"/>
      <c r="AI28" s="98" t="n"/>
      <c r="AJ28" s="98" t="n"/>
      <c r="AK28" s="98" t="n"/>
      <c r="AL28" s="98" t="n"/>
      <c r="AM28" s="98" t="n"/>
      <c r="AN28" s="98" t="n"/>
      <c r="AO28" s="98" t="n"/>
      <c r="AP28" s="98" t="n"/>
      <c r="AQ28" s="98" t="n"/>
      <c r="AR28" s="98" t="n"/>
      <c r="AS28" s="98" t="n"/>
      <c r="AT28" s="98" t="n"/>
      <c r="AU28" s="98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38" t="n"/>
      <c r="BV28" s="138" t="inlineStr">
        <is>
          <t>HORAS</t>
        </is>
      </c>
    </row>
    <row r="29" ht="23.1" customHeight="1" s="240"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182" t="inlineStr">
        <is>
          <t>ESTIMAR</t>
        </is>
      </c>
      <c r="M29" s="97">
        <f>E27</f>
        <v/>
      </c>
      <c r="N29" s="97">
        <f>M31</f>
        <v/>
      </c>
      <c r="O29" s="97">
        <f>N31</f>
        <v/>
      </c>
      <c r="P29" s="97">
        <f>O31</f>
        <v/>
      </c>
      <c r="Q29" s="97">
        <f>P31</f>
        <v/>
      </c>
      <c r="R29" s="97" t="n"/>
      <c r="S29" s="97" t="n"/>
      <c r="T29" s="97" t="n"/>
      <c r="U29" s="97" t="n"/>
      <c r="V29" s="97" t="n"/>
      <c r="W29" s="97" t="n"/>
      <c r="X29" s="97" t="n"/>
      <c r="Y29" s="97" t="n"/>
      <c r="Z29" s="97" t="n"/>
      <c r="AA29" s="97" t="n"/>
      <c r="AB29" s="97" t="n"/>
      <c r="AC29" s="97" t="n"/>
      <c r="AD29" s="97" t="n"/>
      <c r="AE29" s="97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  <c r="AR29" s="97" t="n"/>
      <c r="AS29" s="97" t="n"/>
      <c r="AT29" s="97" t="n"/>
      <c r="AU29" s="97" t="n"/>
      <c r="AV29" s="97" t="n"/>
      <c r="AW29" s="97" t="n"/>
      <c r="AX29" s="97" t="n"/>
      <c r="AY29" s="97" t="n"/>
      <c r="AZ29" s="97" t="n"/>
      <c r="BA29" s="97" t="n"/>
      <c r="BB29" s="97" t="n"/>
      <c r="BC29" s="97" t="n"/>
      <c r="BD29" s="97" t="n"/>
      <c r="BE29" s="97" t="n"/>
      <c r="BF29" s="97" t="n"/>
      <c r="BG29" s="97" t="n"/>
      <c r="BH29" s="97" t="n"/>
      <c r="BI29" s="97" t="n"/>
      <c r="BJ29" s="97" t="n"/>
      <c r="BK29" s="97" t="n"/>
      <c r="BL29" s="97" t="n"/>
      <c r="BM29" s="97" t="n"/>
      <c r="BN29" s="97" t="n"/>
      <c r="BO29" s="97" t="n"/>
      <c r="BP29" s="97" t="n"/>
      <c r="BQ29" s="97" t="n"/>
      <c r="BR29" s="97" t="n"/>
      <c r="BS29" s="97" t="n"/>
      <c r="BT29" s="97" t="n"/>
      <c r="BU29" s="38" t="n"/>
      <c r="BV29" s="139">
        <f>SUM(M29:BT29)</f>
        <v/>
      </c>
    </row>
    <row r="30" ht="23.1" customHeight="1" s="240"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99" t="inlineStr">
        <is>
          <t>Introduzca las horas completadas por día ----&gt;</t>
        </is>
      </c>
      <c r="L30" s="182" t="inlineStr">
        <is>
          <t>HRS COMPLETADO</t>
        </is>
      </c>
      <c r="M30" s="76" t="n">
        <v>12</v>
      </c>
      <c r="N30" s="76" t="n">
        <v>10</v>
      </c>
      <c r="O30" s="76" t="n">
        <v>11</v>
      </c>
      <c r="P30" s="76" t="n">
        <v>3</v>
      </c>
      <c r="Q30" s="76" t="n">
        <v>0</v>
      </c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  <c r="AG30" s="76" t="n"/>
      <c r="AH30" s="76" t="n"/>
      <c r="AI30" s="76" t="n"/>
      <c r="AJ30" s="76" t="n"/>
      <c r="AK30" s="76" t="n"/>
      <c r="AL30" s="76" t="n"/>
      <c r="AM30" s="76" t="n"/>
      <c r="AN30" s="76" t="n"/>
      <c r="AO30" s="76" t="n"/>
      <c r="AP30" s="76" t="n"/>
      <c r="AQ30" s="76" t="n"/>
      <c r="AR30" s="76" t="n"/>
      <c r="AS30" s="76" t="n"/>
      <c r="AT30" s="76" t="n"/>
      <c r="AU30" s="76" t="n"/>
      <c r="AV30" s="76" t="n"/>
      <c r="AW30" s="76" t="n"/>
      <c r="AX30" s="76" t="n"/>
      <c r="AY30" s="76" t="n"/>
      <c r="AZ30" s="76" t="n"/>
      <c r="BA30" s="76" t="n"/>
      <c r="BB30" s="76" t="n"/>
      <c r="BC30" s="76" t="n"/>
      <c r="BD30" s="76" t="n"/>
      <c r="BE30" s="76" t="n"/>
      <c r="BF30" s="76" t="n"/>
      <c r="BG30" s="76" t="n"/>
      <c r="BH30" s="76" t="n"/>
      <c r="BI30" s="76" t="n"/>
      <c r="BJ30" s="76" t="n"/>
      <c r="BK30" s="76" t="n"/>
      <c r="BL30" s="76" t="n"/>
      <c r="BM30" s="76" t="n"/>
      <c r="BN30" s="76" t="n"/>
      <c r="BO30" s="76" t="n"/>
      <c r="BP30" s="76" t="n"/>
      <c r="BQ30" s="76" t="n"/>
      <c r="BR30" s="76" t="n"/>
      <c r="BS30" s="76" t="n"/>
      <c r="BT30" s="76" t="n"/>
      <c r="BU30" s="38" t="n"/>
      <c r="BV30" s="140">
        <f>SUM(M30:BT30)</f>
        <v/>
      </c>
    </row>
    <row r="31" ht="23.1" customHeight="1" s="240"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182" t="inlineStr">
        <is>
          <t>HRS RESTANTE</t>
        </is>
      </c>
      <c r="M31" s="97">
        <f>M29-M30</f>
        <v/>
      </c>
      <c r="N31" s="97">
        <f>N29-N30</f>
        <v/>
      </c>
      <c r="O31" s="97">
        <f>O29-O30</f>
        <v/>
      </c>
      <c r="P31" s="97">
        <f>P29-P30</f>
        <v/>
      </c>
      <c r="Q31" s="97">
        <f>Q29-Q30</f>
        <v/>
      </c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97" t="n"/>
      <c r="AH31" s="97" t="n"/>
      <c r="AI31" s="97" t="n"/>
      <c r="AJ31" s="97" t="n"/>
      <c r="AK31" s="97" t="n"/>
      <c r="AL31" s="97" t="n"/>
      <c r="AM31" s="97" t="n"/>
      <c r="AN31" s="97" t="n"/>
      <c r="AO31" s="97" t="n"/>
      <c r="AP31" s="97" t="n"/>
      <c r="AQ31" s="97" t="n"/>
      <c r="AR31" s="97" t="n"/>
      <c r="AS31" s="97" t="n"/>
      <c r="AT31" s="97" t="n"/>
      <c r="AU31" s="97" t="n"/>
      <c r="AV31" s="97" t="n"/>
      <c r="AW31" s="97" t="n"/>
      <c r="AX31" s="97" t="n"/>
      <c r="AY31" s="97" t="n"/>
      <c r="AZ31" s="97" t="n"/>
      <c r="BA31" s="97" t="n"/>
      <c r="BB31" s="97" t="n"/>
      <c r="BC31" s="97" t="n"/>
      <c r="BD31" s="97" t="n"/>
      <c r="BE31" s="97" t="n"/>
      <c r="BF31" s="97" t="n"/>
      <c r="BG31" s="97" t="n"/>
      <c r="BH31" s="97" t="n"/>
      <c r="BI31" s="97" t="n"/>
      <c r="BJ31" s="97" t="n"/>
      <c r="BK31" s="97" t="n"/>
      <c r="BL31" s="97" t="n"/>
      <c r="BM31" s="97" t="n"/>
      <c r="BN31" s="97" t="n"/>
      <c r="BO31" s="97" t="n"/>
      <c r="BP31" s="97" t="n"/>
      <c r="BQ31" s="97" t="n"/>
      <c r="BR31" s="97" t="n"/>
      <c r="BS31" s="97" t="n"/>
      <c r="BT31" s="97" t="n"/>
      <c r="BU31" s="38" t="n"/>
      <c r="BV31" s="140">
        <f>SUM(M31:BT31)</f>
        <v/>
      </c>
    </row>
    <row r="32" ht="19.5" customHeight="1" s="240">
      <c r="C32" s="36" t="inlineStr">
        <is>
          <t>GRÁFICO DE BURNDOWN</t>
        </is>
      </c>
      <c r="I32" s="210" t="n"/>
    </row>
    <row r="33" ht="381.95" customHeight="1" s="240"/>
    <row r="34" ht="216.95" customHeight="1" s="240"/>
    <row r="35"/>
    <row r="36" ht="50.1" customHeight="1" s="240">
      <c r="B36" s="239" t="n"/>
    </row>
  </sheetData>
  <mergeCells count="23">
    <mergeCell ref="R8:V8"/>
    <mergeCell ref="B8:B9"/>
    <mergeCell ref="BA8:BE8"/>
    <mergeCell ref="AV8:AZ8"/>
    <mergeCell ref="L8:L9"/>
    <mergeCell ref="K3:K7"/>
    <mergeCell ref="BF8:BJ8"/>
    <mergeCell ref="BP8:BT8"/>
    <mergeCell ref="C8:C9"/>
    <mergeCell ref="I8:I9"/>
    <mergeCell ref="AQ8:AU8"/>
    <mergeCell ref="K8:K9"/>
    <mergeCell ref="B36:BV36"/>
    <mergeCell ref="BK8:BO8"/>
    <mergeCell ref="D8:D9"/>
    <mergeCell ref="AB8:AF8"/>
    <mergeCell ref="M8:Q8"/>
    <mergeCell ref="AL8:AP8"/>
    <mergeCell ref="W8:AA8"/>
    <mergeCell ref="H8:H9"/>
    <mergeCell ref="J8:J9"/>
    <mergeCell ref="E8:G8"/>
    <mergeCell ref="AG8:AK8"/>
  </mergeCells>
  <conditionalFormatting sqref="L10">
    <cfRule type="dataBar" priority="7">
      <dataBar>
        <cfvo type="percent" val="0"/>
        <cfvo type="percent" val="100"/>
        <color rgb="FF638EC6"/>
      </dataBar>
    </cfRule>
    <cfRule type="dataBar" priority="8">
      <dataBar>
        <cfvo type="percent" val="1"/>
        <cfvo type="percent" val="100"/>
        <color theme="8" tint="0.5999938962981048"/>
      </dataBar>
    </cfRule>
    <cfRule type="dataBar" priority="5">
      <dataBar>
        <cfvo type="min"/>
        <cfvo type="max"/>
        <color rgb="FF638EC6"/>
      </dataBar>
    </cfRule>
    <cfRule type="dataBar" priority="6">
      <dataBar>
        <cfvo type="num" val="0"/>
        <cfvo type="num" val="1"/>
        <color rgb="FF638EC6"/>
      </dataBar>
    </cfRule>
  </conditionalFormatting>
  <conditionalFormatting sqref="L11:L25">
    <cfRule type="dataBar" priority="3">
      <dataBar>
        <cfvo type="percent" val="0"/>
        <cfvo type="percent" val="100"/>
        <color rgb="FF638EC6"/>
      </dataBar>
    </cfRule>
    <cfRule type="dataBar" priority="4">
      <dataBar>
        <cfvo type="percent" val="1"/>
        <cfvo type="percent" val="100"/>
        <color theme="8" tint="0.5999938962981048"/>
      </dataBar>
    </cfRule>
    <cfRule type="dataBar" priority="1">
      <dataBar>
        <cfvo type="min"/>
        <cfvo type="max"/>
        <color rgb="FF638EC6"/>
      </dataBar>
    </cfRule>
    <cfRule type="dataBar" priority="2">
      <dataBar>
        <cfvo type="num" val="0"/>
        <cfvo type="num" val="1"/>
        <color rgb="FF638EC6"/>
      </dataBar>
    </cfRule>
  </conditionalFormatting>
  <pageMargins left="0.3" right="0.3" top="0.3" bottom="0.3" header="0" footer="0"/>
  <pageSetup orientation="landscape" scale="32" fitToHeight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4"/>
  <sheetViews>
    <sheetView tabSelected="1" workbookViewId="0">
      <selection activeCell="AE17" sqref="AE17"/>
    </sheetView>
  </sheetViews>
  <sheetFormatPr baseColWidth="10" defaultRowHeight="15.75"/>
  <cols>
    <col width="5.625" customWidth="1" style="240" min="1" max="29"/>
  </cols>
  <sheetData>
    <row r="1">
      <c r="A1" s="278" t="n"/>
      <c r="B1" s="290" t="n"/>
      <c r="C1" s="290" t="n"/>
      <c r="D1" s="290" t="n"/>
      <c r="E1" s="290" t="n"/>
      <c r="F1" s="290" t="n"/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0" t="n"/>
      <c r="W1" s="290" t="n"/>
      <c r="X1" s="290" t="n"/>
      <c r="Y1" s="290" t="n"/>
      <c r="Z1" s="290" t="n"/>
      <c r="AA1" s="278" t="n"/>
      <c r="AB1" s="274" t="n"/>
    </row>
    <row r="2" ht="18" customHeight="1" s="240">
      <c r="A2" s="278" t="n"/>
      <c r="B2" s="290" t="n"/>
      <c r="C2" s="290" t="n"/>
      <c r="D2" s="290" t="n"/>
      <c r="E2" s="290" t="n"/>
      <c r="F2" s="290" t="n"/>
      <c r="G2" s="280" t="n">
        <v>7</v>
      </c>
      <c r="H2" s="275" t="inlineStr">
        <is>
          <t>B</t>
        </is>
      </c>
      <c r="I2" s="280">
        <f>G2+H3</f>
        <v/>
      </c>
      <c r="J2" s="281" t="n"/>
      <c r="K2" s="282" t="n"/>
      <c r="L2" s="283" t="n">
        <v>21.16</v>
      </c>
      <c r="M2" s="276" t="inlineStr">
        <is>
          <t>E</t>
        </is>
      </c>
      <c r="N2" s="283">
        <f>L2+M3</f>
        <v/>
      </c>
      <c r="O2" s="290" t="n"/>
      <c r="P2" s="290" t="n"/>
      <c r="Q2" s="290" t="n"/>
      <c r="R2" s="290" t="n"/>
      <c r="S2" s="290" t="n"/>
      <c r="T2" s="290" t="n"/>
      <c r="U2" s="290" t="n"/>
      <c r="V2" s="290" t="n"/>
      <c r="W2" s="290" t="n"/>
      <c r="X2" s="290" t="n"/>
      <c r="Y2" s="290" t="n"/>
      <c r="Z2" s="290" t="n"/>
      <c r="AA2" s="284" t="n"/>
      <c r="AB2" s="277" t="n"/>
    </row>
    <row r="3" ht="18" customHeight="1" s="240">
      <c r="A3" s="278" t="n"/>
      <c r="B3" s="290" t="n"/>
      <c r="C3" s="290" t="n"/>
      <c r="D3" s="290" t="n"/>
      <c r="E3" s="290" t="n"/>
      <c r="F3" s="285" t="n"/>
      <c r="G3" s="280">
        <f>I3-H3</f>
        <v/>
      </c>
      <c r="H3" s="280" t="n">
        <v>7.17</v>
      </c>
      <c r="I3" s="280" t="n">
        <v>21.16</v>
      </c>
      <c r="J3" s="290" t="n"/>
      <c r="K3" s="286" t="n"/>
      <c r="L3" s="283">
        <f>N3-M3</f>
        <v/>
      </c>
      <c r="M3" s="283" t="n">
        <v>6.83</v>
      </c>
      <c r="N3" s="283" t="n">
        <v>27.99</v>
      </c>
      <c r="O3" s="287" t="n"/>
      <c r="P3" s="288" t="n"/>
      <c r="Q3" s="290" t="n"/>
      <c r="R3" s="290" t="n"/>
      <c r="S3" s="290" t="n"/>
      <c r="T3" s="290" t="n"/>
      <c r="U3" s="290" t="n"/>
      <c r="V3" s="290" t="n"/>
      <c r="W3" s="290" t="n"/>
      <c r="X3" s="290" t="n"/>
      <c r="Y3" s="290" t="n"/>
      <c r="Z3" s="290" t="n"/>
      <c r="AA3" s="284" t="n"/>
      <c r="AB3" s="277" t="n"/>
    </row>
    <row r="4" ht="18" customHeight="1" s="240">
      <c r="A4" s="278" t="n"/>
      <c r="B4" s="290" t="n"/>
      <c r="C4" s="290" t="n"/>
      <c r="D4" s="290" t="n"/>
      <c r="E4" s="290" t="n"/>
      <c r="F4" s="289" t="n"/>
      <c r="G4" s="290" t="n"/>
      <c r="H4" s="290" t="n"/>
      <c r="I4" s="290" t="n"/>
      <c r="J4" s="290" t="n"/>
      <c r="K4" s="288" t="n"/>
      <c r="L4" s="290" t="n"/>
      <c r="M4" s="290" t="n"/>
      <c r="N4" s="290" t="n"/>
      <c r="O4" s="290" t="n"/>
      <c r="P4" s="288" t="n"/>
      <c r="Q4" s="290" t="n"/>
      <c r="R4" s="290" t="n"/>
      <c r="S4" s="290" t="n"/>
      <c r="T4" s="290" t="n"/>
      <c r="U4" s="290" t="n"/>
      <c r="V4" s="290" t="n"/>
      <c r="W4" s="290" t="n"/>
      <c r="X4" s="290" t="n"/>
      <c r="Y4" s="290" t="n"/>
      <c r="Z4" s="290" t="n"/>
      <c r="AA4" s="284" t="n"/>
      <c r="AB4" s="277" t="n"/>
    </row>
    <row r="5" ht="18" customHeight="1" s="240">
      <c r="A5" s="278" t="n"/>
      <c r="B5" s="280" t="n">
        <v>0</v>
      </c>
      <c r="C5" s="275" t="inlineStr">
        <is>
          <t>A</t>
        </is>
      </c>
      <c r="D5" s="280">
        <f>B5+C6</f>
        <v/>
      </c>
      <c r="E5" s="291" t="n"/>
      <c r="F5" s="289" t="n"/>
      <c r="G5" s="290" t="n"/>
      <c r="H5" s="290" t="n"/>
      <c r="I5" s="290" t="n"/>
      <c r="J5" s="290" t="n"/>
      <c r="K5" s="288" t="n"/>
      <c r="L5" s="290" t="n"/>
      <c r="M5" s="290" t="n"/>
      <c r="N5" s="290" t="n"/>
      <c r="O5" s="290" t="n"/>
      <c r="P5" s="292" t="n"/>
      <c r="Q5" s="283" t="n">
        <v>27.99</v>
      </c>
      <c r="R5" s="276" t="inlineStr">
        <is>
          <t>F</t>
        </is>
      </c>
      <c r="S5" s="283">
        <f>Q5+R6</f>
        <v/>
      </c>
      <c r="T5" s="289" t="n"/>
      <c r="U5" s="282" t="n"/>
      <c r="V5" s="283" t="n">
        <v>34.99</v>
      </c>
      <c r="W5" s="276" t="inlineStr">
        <is>
          <t>G</t>
        </is>
      </c>
      <c r="X5" s="283">
        <f>W6+V5</f>
        <v/>
      </c>
      <c r="Y5" s="290" t="n"/>
      <c r="Z5" s="290" t="n"/>
      <c r="AA5" s="284" t="n"/>
      <c r="AB5" s="277" t="n"/>
    </row>
    <row r="6" ht="18" customHeight="1" s="240">
      <c r="A6" s="278" t="n"/>
      <c r="B6" s="280">
        <f>D6-C6</f>
        <v/>
      </c>
      <c r="C6" s="280" t="n">
        <v>7</v>
      </c>
      <c r="D6" s="280" t="n">
        <v>6.999999999999996</v>
      </c>
      <c r="E6" s="293" t="n"/>
      <c r="F6" s="290" t="n"/>
      <c r="G6" s="290" t="n"/>
      <c r="H6" s="290" t="n"/>
      <c r="I6" s="290" t="n"/>
      <c r="J6" s="290" t="n"/>
      <c r="K6" s="288" t="n"/>
      <c r="L6" s="290" t="n"/>
      <c r="M6" s="290" t="n"/>
      <c r="N6" s="290" t="n"/>
      <c r="O6" s="282" t="n"/>
      <c r="P6" s="290" t="n"/>
      <c r="Q6" s="283">
        <f>S6-R6</f>
        <v/>
      </c>
      <c r="R6" s="283" t="n">
        <v>7</v>
      </c>
      <c r="S6" s="283" t="n">
        <v>34.99</v>
      </c>
      <c r="T6" s="294" t="n"/>
      <c r="U6" s="295" t="n"/>
      <c r="V6" s="283">
        <f>X6-W6</f>
        <v/>
      </c>
      <c r="W6" s="283" t="n">
        <v>6.67</v>
      </c>
      <c r="X6" s="283" t="n">
        <v>41.66</v>
      </c>
      <c r="Y6" s="290" t="n"/>
      <c r="Z6" s="290" t="n"/>
      <c r="AA6" s="284" t="n"/>
      <c r="AB6" s="277" t="n"/>
    </row>
    <row r="7" ht="18" customHeight="1" s="240">
      <c r="A7" s="278" t="n"/>
      <c r="B7" s="290" t="n"/>
      <c r="C7" s="290" t="n"/>
      <c r="D7" s="290" t="n"/>
      <c r="E7" s="296" t="n"/>
      <c r="F7" s="290" t="n"/>
      <c r="G7" s="290" t="n"/>
      <c r="H7" s="290" t="n"/>
      <c r="I7" s="290" t="n"/>
      <c r="J7" s="290" t="n"/>
      <c r="K7" s="288" t="n"/>
      <c r="L7" s="290" t="n"/>
      <c r="M7" s="290" t="n"/>
      <c r="N7" s="290" t="n"/>
      <c r="O7" s="282" t="n"/>
      <c r="P7" s="290" t="n"/>
      <c r="Q7" s="290" t="n"/>
      <c r="R7" s="290" t="n"/>
      <c r="S7" s="290" t="n"/>
      <c r="T7" s="290" t="n"/>
      <c r="U7" s="290" t="n"/>
      <c r="V7" s="290" t="n"/>
      <c r="W7" s="290" t="n"/>
      <c r="X7" s="290" t="n"/>
      <c r="Y7" s="290" t="n"/>
      <c r="Z7" s="290" t="n"/>
      <c r="AA7" s="284" t="n"/>
      <c r="AB7" s="277" t="n"/>
    </row>
    <row r="8" ht="18" customHeight="1" s="240">
      <c r="A8" s="278" t="n"/>
      <c r="B8" s="290" t="n"/>
      <c r="C8" s="290" t="n"/>
      <c r="D8" s="290" t="n"/>
      <c r="E8" s="296" t="n"/>
      <c r="F8" s="290" t="n"/>
      <c r="G8" s="283" t="n">
        <v>7</v>
      </c>
      <c r="H8" s="276" t="inlineStr">
        <is>
          <t>C</t>
        </is>
      </c>
      <c r="I8" s="283">
        <f>G8+H9</f>
        <v/>
      </c>
      <c r="J8" s="289" t="n"/>
      <c r="K8" s="292" t="n"/>
      <c r="L8" s="283" t="n">
        <v>14.5</v>
      </c>
      <c r="M8" s="276" t="inlineStr">
        <is>
          <t>D</t>
        </is>
      </c>
      <c r="N8" s="283">
        <f>L8+M9</f>
        <v/>
      </c>
      <c r="O8" s="297" t="n"/>
      <c r="P8" s="290" t="n"/>
      <c r="Q8" s="290" t="n"/>
      <c r="R8" s="290" t="n"/>
      <c r="S8" s="290" t="n"/>
      <c r="T8" s="290" t="n"/>
      <c r="U8" s="290" t="n"/>
      <c r="V8" s="290" t="n"/>
      <c r="W8" s="290" t="n"/>
      <c r="X8" s="290" t="n"/>
      <c r="Y8" s="290" t="n"/>
      <c r="Z8" s="290" t="n"/>
      <c r="AA8" s="284" t="n"/>
      <c r="AB8" s="277" t="n"/>
    </row>
    <row r="9" ht="18" customHeight="1" s="240">
      <c r="A9" s="278" t="n"/>
      <c r="B9" s="290" t="n"/>
      <c r="C9" s="290" t="n"/>
      <c r="D9" s="290" t="n"/>
      <c r="E9" s="290" t="n"/>
      <c r="F9" s="295" t="n"/>
      <c r="G9" s="283">
        <f>I9-H9</f>
        <v/>
      </c>
      <c r="H9" s="283" t="n">
        <v>7.5</v>
      </c>
      <c r="I9" s="283" t="n">
        <v>14.5</v>
      </c>
      <c r="J9" s="294" t="n"/>
      <c r="K9" s="295" t="n"/>
      <c r="L9" s="283">
        <f>N9-M9</f>
        <v/>
      </c>
      <c r="M9" s="283" t="n">
        <v>6.66</v>
      </c>
      <c r="N9" s="283" t="n">
        <v>21.16</v>
      </c>
      <c r="O9" s="290" t="n"/>
      <c r="P9" s="290" t="n"/>
      <c r="Q9" s="290" t="n"/>
      <c r="R9" s="290" t="n"/>
      <c r="S9" s="290" t="n"/>
      <c r="T9" s="290" t="n"/>
      <c r="U9" s="290" t="n"/>
      <c r="V9" s="290" t="n"/>
      <c r="W9" s="290" t="n"/>
      <c r="X9" s="290" t="n"/>
      <c r="Y9" s="290" t="n"/>
      <c r="Z9" s="290" t="n"/>
      <c r="AA9" s="284" t="n"/>
      <c r="AB9" s="277" t="n"/>
    </row>
    <row r="10" ht="18" customHeight="1" s="240">
      <c r="A10" s="278" t="n"/>
      <c r="B10" s="290" t="n"/>
      <c r="C10" s="290" t="n"/>
      <c r="D10" s="290" t="n"/>
      <c r="E10" s="290" t="n"/>
      <c r="F10" s="290" t="n"/>
      <c r="G10" s="290" t="n"/>
      <c r="H10" s="290" t="n"/>
      <c r="I10" s="290" t="n"/>
      <c r="J10" s="290" t="n"/>
      <c r="K10" s="290" t="n"/>
      <c r="L10" s="290" t="n"/>
      <c r="M10" s="290" t="n"/>
      <c r="N10" s="290" t="n"/>
      <c r="O10" s="290" t="n"/>
      <c r="P10" s="290" t="n"/>
      <c r="Q10" s="290" t="n"/>
      <c r="R10" s="290" t="n"/>
      <c r="S10" s="290" t="n"/>
      <c r="T10" s="290" t="n"/>
      <c r="U10" s="290" t="n"/>
      <c r="V10" s="290" t="n"/>
      <c r="W10" s="290" t="n"/>
      <c r="X10" s="290" t="n"/>
      <c r="Y10" s="290" t="n"/>
      <c r="Z10" s="290" t="n"/>
      <c r="AA10" s="284" t="n"/>
      <c r="AB10" s="277" t="n"/>
    </row>
    <row r="11" ht="18" customHeight="1" s="240">
      <c r="A11" s="278" t="n"/>
      <c r="B11" s="290" t="n"/>
      <c r="C11" s="290" t="n"/>
      <c r="D11" s="290" t="n"/>
      <c r="E11" s="290" t="n"/>
      <c r="F11" s="290" t="n"/>
      <c r="G11" s="290" t="n"/>
      <c r="H11" s="290" t="n"/>
      <c r="I11" s="290" t="n"/>
      <c r="J11" s="290" t="n"/>
      <c r="K11" s="290" t="n"/>
      <c r="L11" s="290" t="n"/>
      <c r="M11" s="290" t="n"/>
      <c r="N11" s="290" t="n"/>
      <c r="O11" s="290" t="n"/>
      <c r="P11" s="290" t="n"/>
      <c r="Q11" s="290" t="n"/>
      <c r="R11" s="290" t="n"/>
      <c r="S11" s="290" t="n"/>
      <c r="T11" s="290" t="n"/>
      <c r="U11" s="290" t="n"/>
      <c r="V11" s="290" t="n"/>
      <c r="W11" s="290" t="n"/>
      <c r="X11" s="290" t="n"/>
      <c r="Y11" s="290" t="n"/>
      <c r="Z11" s="290" t="n"/>
      <c r="AA11" s="284" t="n"/>
      <c r="AB11" s="277" t="n"/>
    </row>
    <row r="12" ht="18" customHeight="1" s="240">
      <c r="A12" s="278" t="n"/>
      <c r="B12" s="290" t="n"/>
      <c r="C12" s="290" t="n"/>
      <c r="D12" s="290" t="n"/>
      <c r="E12" s="290" t="n"/>
      <c r="F12" s="290" t="n"/>
      <c r="G12" s="290" t="n"/>
      <c r="H12" s="290" t="n"/>
      <c r="I12" s="290" t="n"/>
      <c r="J12" s="290" t="n"/>
      <c r="K12" s="290" t="n"/>
      <c r="L12" s="290" t="n"/>
      <c r="M12" s="290" t="n"/>
      <c r="N12" s="290" t="n"/>
      <c r="O12" s="290" t="n"/>
      <c r="P12" s="290" t="n"/>
      <c r="Q12" s="290" t="n"/>
      <c r="R12" s="290" t="n"/>
      <c r="S12" s="290" t="n"/>
      <c r="T12" s="290" t="n"/>
      <c r="U12" s="290" t="n"/>
      <c r="V12" s="290" t="n"/>
      <c r="W12" s="290" t="n"/>
      <c r="X12" s="290" t="n"/>
      <c r="Y12" s="290" t="n"/>
      <c r="Z12" s="290" t="n"/>
      <c r="AA12" s="284" t="n"/>
      <c r="AB12" s="277" t="n"/>
    </row>
    <row r="13" ht="18" customHeight="1" s="240">
      <c r="A13" s="278" t="n"/>
      <c r="B13" s="290" t="n"/>
      <c r="C13" s="290" t="n"/>
      <c r="D13" s="290" t="n"/>
      <c r="E13" s="290" t="n"/>
      <c r="F13" s="290" t="n"/>
      <c r="G13" s="290" t="n"/>
      <c r="H13" s="290" t="n"/>
      <c r="I13" s="290" t="n"/>
      <c r="J13" s="290" t="n"/>
      <c r="K13" s="290" t="n"/>
      <c r="L13" s="290" t="n"/>
      <c r="M13" s="290" t="n"/>
      <c r="N13" s="290" t="n"/>
      <c r="O13" s="290" t="n"/>
      <c r="P13" s="290" t="n"/>
      <c r="Q13" s="290" t="n"/>
      <c r="R13" s="290" t="n"/>
      <c r="S13" s="290" t="n"/>
      <c r="T13" s="290" t="n"/>
      <c r="U13" s="290" t="n"/>
      <c r="V13" s="290" t="n"/>
      <c r="W13" s="290" t="n"/>
      <c r="X13" s="290" t="n"/>
      <c r="Y13" s="290" t="n"/>
      <c r="Z13" s="290" t="n"/>
      <c r="AA13" s="284" t="n"/>
      <c r="AB13" s="277" t="n"/>
    </row>
    <row r="14" ht="18" customHeight="1" s="240">
      <c r="A14" s="278" t="n"/>
      <c r="B14" s="284" t="n"/>
      <c r="C14" s="284" t="n"/>
      <c r="D14" s="284" t="n"/>
      <c r="E14" s="284" t="n"/>
      <c r="F14" s="284" t="n"/>
      <c r="G14" s="284" t="n"/>
      <c r="H14" s="284" t="n"/>
      <c r="I14" s="284" t="n"/>
      <c r="J14" s="284" t="n"/>
      <c r="K14" s="284" t="n"/>
      <c r="L14" s="284" t="n"/>
      <c r="M14" s="284" t="n"/>
      <c r="N14" s="284" t="n"/>
      <c r="O14" s="284" t="n"/>
      <c r="P14" s="284" t="n"/>
      <c r="Q14" s="284" t="n"/>
      <c r="R14" s="284" t="n"/>
      <c r="S14" s="284" t="n"/>
      <c r="T14" s="284" t="n"/>
      <c r="U14" s="284" t="n"/>
      <c r="V14" s="284" t="n"/>
      <c r="W14" s="284" t="n"/>
      <c r="X14" s="284" t="n"/>
      <c r="Y14" s="284" t="n"/>
      <c r="Z14" s="284" t="n"/>
      <c r="AA14" s="284" t="n"/>
      <c r="AB14" s="277" t="n"/>
    </row>
    <row r="15" ht="18" customHeight="1" s="240">
      <c r="A15" s="278" t="n"/>
      <c r="B15" s="284" t="n"/>
      <c r="C15" s="284" t="n"/>
      <c r="D15" s="284" t="n"/>
      <c r="E15" s="284" t="n"/>
      <c r="F15" s="284" t="n"/>
      <c r="G15" s="284" t="n"/>
      <c r="H15" s="284" t="n"/>
      <c r="I15" s="284" t="n"/>
      <c r="J15" s="284" t="n"/>
      <c r="K15" s="284" t="n"/>
      <c r="L15" s="284" t="n"/>
      <c r="M15" s="284" t="n"/>
      <c r="N15" s="284" t="n"/>
      <c r="O15" s="284" t="n"/>
      <c r="P15" s="284" t="n"/>
      <c r="Q15" s="284" t="n"/>
      <c r="R15" s="284" t="n"/>
      <c r="S15" s="284" t="n"/>
      <c r="T15" s="284" t="n"/>
      <c r="U15" s="284" t="n"/>
      <c r="V15" s="284" t="n"/>
      <c r="W15" s="284" t="n"/>
      <c r="X15" s="284" t="n"/>
      <c r="Y15" s="284" t="n"/>
      <c r="Z15" s="284" t="n"/>
      <c r="AA15" s="284" t="n"/>
      <c r="AB15" s="277" t="n"/>
    </row>
    <row r="16" ht="17.25" customHeight="1" s="240">
      <c r="A16" s="298" t="n"/>
      <c r="B16" s="299" t="n"/>
      <c r="C16" s="299" t="n"/>
      <c r="D16" s="299" t="n"/>
      <c r="E16" s="299" t="n"/>
      <c r="F16" s="299" t="n"/>
      <c r="G16" s="299" t="n"/>
      <c r="H16" s="299" t="n"/>
      <c r="I16" s="299" t="n"/>
      <c r="J16" s="299" t="n"/>
      <c r="K16" s="299" t="n"/>
      <c r="L16" s="299" t="n"/>
      <c r="M16" s="299" t="n"/>
      <c r="N16" s="299" t="n"/>
      <c r="O16" s="299" t="n"/>
      <c r="P16" s="299" t="n"/>
      <c r="Q16" s="299" t="n"/>
      <c r="R16" s="299" t="n"/>
      <c r="S16" s="299" t="n"/>
      <c r="T16" s="299" t="n"/>
      <c r="U16" s="299" t="n"/>
      <c r="V16" s="299" t="n"/>
      <c r="W16" s="299" t="n"/>
      <c r="X16" s="299" t="n"/>
      <c r="Y16" s="299" t="n"/>
      <c r="Z16" s="299" t="n"/>
      <c r="AA16" s="299" t="n"/>
      <c r="AB16" s="273" t="n"/>
    </row>
    <row r="17" ht="17.25" customHeight="1" s="240">
      <c r="A17" s="298" t="n"/>
      <c r="B17" s="299" t="n"/>
      <c r="C17" s="299" t="n"/>
      <c r="D17" s="299" t="n"/>
      <c r="E17" s="299" t="n"/>
      <c r="F17" s="299" t="n"/>
      <c r="G17" s="299" t="n"/>
      <c r="H17" s="299" t="n"/>
      <c r="I17" s="299" t="n"/>
      <c r="J17" s="299" t="n"/>
      <c r="K17" s="299" t="n"/>
      <c r="L17" s="299" t="n"/>
      <c r="M17" s="299" t="n"/>
      <c r="N17" s="299" t="n"/>
      <c r="O17" s="299" t="n"/>
      <c r="P17" s="299" t="n"/>
      <c r="Q17" s="299" t="n"/>
      <c r="R17" s="299" t="n"/>
      <c r="S17" s="299" t="n"/>
      <c r="T17" s="299" t="n"/>
      <c r="U17" s="299" t="n"/>
      <c r="V17" s="299" t="n"/>
      <c r="W17" s="299" t="n"/>
      <c r="X17" s="299" t="n"/>
      <c r="Y17" s="299" t="n"/>
      <c r="Z17" s="299" t="n"/>
      <c r="AA17" s="299" t="n"/>
      <c r="AB17" s="273" t="n"/>
    </row>
    <row r="18" ht="17.25" customHeight="1" s="240">
      <c r="A18" s="298" t="n"/>
      <c r="B18" s="299" t="n"/>
      <c r="C18" s="299" t="n"/>
      <c r="D18" s="299" t="n"/>
      <c r="E18" s="299" t="n"/>
      <c r="F18" s="299" t="n"/>
      <c r="G18" s="299" t="n"/>
      <c r="H18" s="299" t="n"/>
      <c r="I18" s="299" t="n"/>
      <c r="J18" s="299" t="n"/>
      <c r="K18" s="299" t="n"/>
      <c r="L18" s="299" t="n"/>
      <c r="M18" s="299" t="n"/>
      <c r="N18" s="299" t="n"/>
      <c r="O18" s="299" t="n"/>
      <c r="P18" s="299" t="n"/>
      <c r="Q18" s="299" t="n"/>
      <c r="R18" s="299" t="n"/>
      <c r="S18" s="299" t="n"/>
      <c r="T18" s="299" t="n"/>
      <c r="U18" s="299" t="n"/>
      <c r="V18" s="299" t="n"/>
      <c r="W18" s="299" t="n"/>
      <c r="X18" s="299" t="n"/>
      <c r="Y18" s="299" t="n"/>
      <c r="Z18" s="299" t="n"/>
      <c r="AA18" s="299" t="n"/>
      <c r="AB18" s="273" t="n"/>
    </row>
    <row r="19" ht="17.25" customHeight="1" s="240">
      <c r="A19" s="298" t="n"/>
      <c r="B19" s="299" t="n"/>
      <c r="C19" s="299" t="n"/>
      <c r="D19" s="299" t="n"/>
      <c r="E19" s="299" t="n"/>
      <c r="F19" s="299" t="n"/>
      <c r="G19" s="299" t="n"/>
      <c r="H19" s="299" t="n"/>
      <c r="I19" s="299" t="n"/>
      <c r="J19" s="299" t="n"/>
      <c r="K19" s="299" t="n"/>
      <c r="L19" s="299" t="n"/>
      <c r="M19" s="299" t="n"/>
      <c r="N19" s="299" t="n"/>
      <c r="O19" s="299" t="n"/>
      <c r="P19" s="299" t="n"/>
      <c r="Q19" s="299" t="n"/>
      <c r="R19" s="299" t="n"/>
      <c r="S19" s="299" t="n"/>
      <c r="T19" s="299" t="n"/>
      <c r="U19" s="299" t="n"/>
      <c r="V19" s="299" t="n"/>
      <c r="W19" s="299" t="n"/>
      <c r="X19" s="299" t="n"/>
      <c r="Y19" s="299" t="n"/>
      <c r="Z19" s="299" t="n"/>
      <c r="AA19" s="299" t="n"/>
      <c r="AB19" s="273" t="n"/>
    </row>
    <row r="20" ht="17.25" customHeight="1" s="240">
      <c r="A20" s="298" t="n"/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  <c r="M20" s="299" t="n"/>
      <c r="N20" s="299" t="n"/>
      <c r="O20" s="299" t="n"/>
      <c r="P20" s="299" t="n"/>
      <c r="Q20" s="299" t="n"/>
      <c r="R20" s="299" t="n"/>
      <c r="S20" s="299" t="n"/>
      <c r="T20" s="299" t="n"/>
      <c r="U20" s="299" t="n"/>
      <c r="V20" s="299" t="n"/>
      <c r="W20" s="299" t="n"/>
      <c r="X20" s="299" t="n"/>
      <c r="Y20" s="299" t="n"/>
      <c r="Z20" s="299" t="n"/>
      <c r="AA20" s="299" t="n"/>
      <c r="AB20" s="273" t="n"/>
    </row>
    <row r="21" ht="17.25" customHeight="1" s="240">
      <c r="A21" s="298" t="n"/>
      <c r="B21" s="299" t="n"/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  <c r="N21" s="299" t="n"/>
      <c r="O21" s="299" t="n"/>
      <c r="P21" s="299" t="n"/>
      <c r="Q21" s="299" t="n"/>
      <c r="R21" s="299" t="n"/>
      <c r="S21" s="299" t="n"/>
      <c r="T21" s="299" t="n"/>
      <c r="U21" s="299" t="n"/>
      <c r="V21" s="299" t="n"/>
      <c r="W21" s="299" t="n"/>
      <c r="X21" s="299" t="n"/>
      <c r="Y21" s="299" t="n"/>
      <c r="Z21" s="299" t="n"/>
      <c r="AA21" s="299" t="n"/>
      <c r="AB21" s="273" t="n"/>
    </row>
    <row r="22" ht="18" customHeight="1" s="240">
      <c r="B22" s="273" t="n"/>
      <c r="C22" s="273" t="n"/>
      <c r="D22" s="273" t="n"/>
      <c r="E22" s="273" t="n"/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7.25" customHeight="1" s="240">
      <c r="B23" s="273" t="n"/>
      <c r="C23" s="273" t="n"/>
      <c r="D23" s="273" t="n"/>
      <c r="E23" s="273" t="n"/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7.25" customHeight="1" s="240">
      <c r="B24" s="273" t="n"/>
      <c r="C24" s="273" t="n"/>
      <c r="D24" s="273" t="n"/>
      <c r="E24" s="273" t="n"/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C30" sqref="C30"/>
    </sheetView>
  </sheetViews>
  <sheetFormatPr baseColWidth="10" defaultRowHeight="15.75"/>
  <cols>
    <col width="48.5" customWidth="1" style="240" min="2" max="2"/>
    <col width="25.625" customWidth="1" style="240" min="3" max="5"/>
    <col width="20.625" customWidth="1" style="240" min="7" max="9"/>
  </cols>
  <sheetData>
    <row r="1"/>
    <row r="2"/>
    <row r="3" ht="36" customHeight="1" s="240">
      <c r="B3" s="225" t="inlineStr">
        <is>
          <t>Historias/ Actividades</t>
        </is>
      </c>
      <c r="C3" s="225" t="inlineStr">
        <is>
          <t>Por hacer</t>
        </is>
      </c>
      <c r="D3" s="225" t="inlineStr">
        <is>
          <t>En progreso</t>
        </is>
      </c>
      <c r="E3" s="225" t="inlineStr">
        <is>
          <t>Completado</t>
        </is>
      </c>
    </row>
    <row r="4" ht="60" customHeight="1" s="240">
      <c r="B4" s="209" t="inlineStr">
        <is>
          <t xml:space="preserve">HU-1: Configuración del entorno </t>
        </is>
      </c>
      <c r="C4" s="209" t="n"/>
      <c r="D4" s="209" t="n"/>
      <c r="E4" s="228" t="inlineStr">
        <is>
          <t>Alejandro</t>
        </is>
      </c>
      <c r="G4" s="227" t="inlineStr">
        <is>
          <t>Yersson</t>
        </is>
      </c>
      <c r="H4" s="228" t="inlineStr">
        <is>
          <t>Alejandro</t>
        </is>
      </c>
      <c r="I4" s="229" t="inlineStr">
        <is>
          <t>Andree</t>
        </is>
      </c>
    </row>
    <row r="5" ht="60" customHeight="1" s="240">
      <c r="B5" s="209" t="inlineStr">
        <is>
          <t>HU-2: Recolección y organización del dataset</t>
        </is>
      </c>
      <c r="C5" s="209" t="n"/>
      <c r="D5" s="209" t="n"/>
      <c r="E5" s="227" t="inlineStr">
        <is>
          <t>Yersson</t>
        </is>
      </c>
      <c r="G5" s="226" t="n"/>
      <c r="H5" s="241" t="n"/>
      <c r="I5" s="241" t="n"/>
    </row>
    <row r="6" ht="60" customHeight="1" s="240">
      <c r="B6" s="209" t="inlineStr">
        <is>
          <t xml:space="preserve">HU-3: Preprocesamiento de imágenes </t>
        </is>
      </c>
      <c r="C6" s="209" t="n"/>
      <c r="D6" s="209" t="n"/>
      <c r="E6" s="227" t="inlineStr">
        <is>
          <t>Yersson</t>
        </is>
      </c>
    </row>
    <row r="7" ht="60" customHeight="1" s="240">
      <c r="B7" s="209" t="inlineStr">
        <is>
          <t xml:space="preserve">HU-4: Diseño de arquitectura base CNN </t>
        </is>
      </c>
      <c r="C7" s="209" t="n"/>
      <c r="D7" s="229" t="inlineStr">
        <is>
          <t>Andree</t>
        </is>
      </c>
      <c r="E7" s="209" t="n"/>
    </row>
    <row r="8" ht="60" customHeight="1" s="240">
      <c r="B8" s="209" t="inlineStr">
        <is>
          <t xml:space="preserve">HU-5: Clasificación básica </t>
        </is>
      </c>
      <c r="C8" s="209" t="n"/>
      <c r="D8" s="229" t="inlineStr">
        <is>
          <t>Andree</t>
        </is>
      </c>
      <c r="E8" s="209" t="n"/>
    </row>
    <row r="9" ht="60" customHeight="1" s="240">
      <c r="B9" s="209" t="inlineStr">
        <is>
          <t xml:space="preserve">HU-8: Mostrar nivel de confianza </t>
        </is>
      </c>
      <c r="C9" s="209" t="n"/>
      <c r="D9" s="228" t="inlineStr">
        <is>
          <t>Alejandro</t>
        </is>
      </c>
      <c r="E9" s="20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BV40"/>
  <sheetViews>
    <sheetView showGridLines="0" zoomScaleNormal="100" zoomScalePageLayoutView="70" workbookViewId="0">
      <pane ySplit="8" topLeftCell="A33" activePane="bottomLeft" state="frozen"/>
      <selection pane="bottomLeft" activeCell="C9" sqref="C9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28.7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125" customWidth="1" style="241" min="74" max="74"/>
    <col width="3.25" customWidth="1" style="240" min="75" max="75"/>
  </cols>
  <sheetData>
    <row r="1" ht="35.1" customFormat="1" customHeight="1" s="241" thickBot="1">
      <c r="B1" s="106" t="inlineStr">
        <is>
          <t>DIAGRAMA DE GANTT Y BURNDOWN</t>
        </is>
      </c>
      <c r="C1" s="37" t="n"/>
      <c r="D1" s="37" t="n"/>
      <c r="E1" s="37" t="n"/>
      <c r="F1" s="36" t="n"/>
      <c r="G1" s="37" t="n"/>
      <c r="H1" s="37" t="n"/>
      <c r="I1" s="37" t="n"/>
      <c r="J1" s="37" t="n"/>
      <c r="K1" s="37" t="n"/>
      <c r="L1" s="37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  <c r="BT1" s="39" t="n"/>
      <c r="BU1" s="39" t="n"/>
      <c r="BV1" s="39" t="n"/>
    </row>
    <row r="2" ht="23.1" customHeight="1" s="240">
      <c r="B2" s="40" t="n"/>
      <c r="C2" s="40" t="n"/>
      <c r="D2" s="40" t="n"/>
      <c r="E2" s="40" t="n"/>
      <c r="F2" s="40" t="n"/>
      <c r="G2" s="40" t="n"/>
      <c r="H2" s="40" t="n"/>
      <c r="I2" s="40" t="n"/>
      <c r="J2" s="41" t="n"/>
      <c r="K2" s="245" t="inlineStr">
        <is>
          <t>SPRINTS</t>
        </is>
      </c>
      <c r="L2" s="42" t="inlineStr">
        <is>
          <t>SPRINT 1</t>
        </is>
      </c>
      <c r="M2" s="22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45" t="n"/>
      <c r="BH2" s="45" t="n"/>
      <c r="BI2" s="45" t="n"/>
      <c r="BJ2" s="45" t="n"/>
      <c r="BK2" s="45" t="n"/>
      <c r="BL2" s="45" t="n"/>
      <c r="BM2" s="45" t="n"/>
      <c r="BN2" s="45" t="n"/>
      <c r="BO2" s="45" t="n"/>
      <c r="BP2" s="45" t="n"/>
      <c r="BQ2" s="45" t="n"/>
      <c r="BR2" s="45" t="n"/>
      <c r="BS2" s="45" t="n"/>
      <c r="BT2" s="46" t="n"/>
      <c r="BU2" s="38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6" t="n"/>
      <c r="L3" s="47" t="inlineStr">
        <is>
          <t>SPRINT 2</t>
        </is>
      </c>
      <c r="M3" s="19" t="n"/>
      <c r="N3" s="23" t="n"/>
      <c r="O3" s="19" t="n"/>
      <c r="P3" s="20" t="n"/>
      <c r="Q3" s="20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51" t="n"/>
      <c r="BU3" s="38" t="n"/>
      <c r="BV3" s="39" t="n"/>
    </row>
    <row r="4" ht="23.1" customHeight="1" s="240">
      <c r="B4" s="36" t="n"/>
      <c r="C4" s="37" t="n"/>
      <c r="D4" s="37" t="n"/>
      <c r="E4" s="37" t="n"/>
      <c r="F4" s="37" t="n"/>
      <c r="G4" s="37" t="n"/>
      <c r="H4" s="37" t="n"/>
      <c r="I4" s="36" t="n"/>
      <c r="J4" s="37" t="n"/>
      <c r="K4" s="246" t="n"/>
      <c r="L4" s="52" t="inlineStr">
        <is>
          <t>SPRINT 3</t>
        </is>
      </c>
      <c r="M4" s="19" t="n"/>
      <c r="N4" s="19" t="n"/>
      <c r="O4" s="24" t="n"/>
      <c r="P4" s="20" t="n"/>
      <c r="Q4" s="20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4" t="inlineStr">
        <is>
          <t>SPRINT 4</t>
        </is>
      </c>
      <c r="M5" s="19" t="n"/>
      <c r="N5" s="19" t="n"/>
      <c r="O5" s="19" t="n"/>
      <c r="P5" s="25" t="n"/>
      <c r="Q5" s="20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49" t="n"/>
      <c r="AB5" s="49" t="n"/>
      <c r="AC5" s="49" t="n"/>
      <c r="AD5" s="49" t="n"/>
      <c r="AE5" s="49" t="n"/>
      <c r="AF5" s="49" t="n"/>
      <c r="AG5" s="49" t="n"/>
      <c r="AH5" s="49" t="n"/>
      <c r="AI5" s="49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 thickBot="1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7" t="n"/>
      <c r="L6" s="56" t="inlineStr">
        <is>
          <t>SPRINT 5</t>
        </is>
      </c>
      <c r="M6" s="19" t="n"/>
      <c r="N6" s="19" t="n"/>
      <c r="O6" s="19" t="n"/>
      <c r="P6" s="20" t="n"/>
      <c r="Q6" s="26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49" t="n"/>
      <c r="AG6" s="49" t="n"/>
      <c r="AH6" s="49" t="n"/>
      <c r="AI6" s="49" t="n"/>
      <c r="AJ6" s="49" t="n"/>
      <c r="AK6" s="49" t="n"/>
      <c r="AL6" s="49" t="n"/>
      <c r="AM6" s="49" t="n"/>
      <c r="AN6" s="49" t="n"/>
      <c r="AO6" s="49" t="n"/>
      <c r="AP6" s="49" t="n"/>
      <c r="AQ6" s="49" t="n"/>
      <c r="AR6" s="49" t="n"/>
      <c r="AS6" s="49" t="n"/>
      <c r="AT6" s="49" t="n"/>
      <c r="AU6" s="49" t="n"/>
      <c r="AV6" s="49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>
      <c r="B7" s="262" t="inlineStr">
        <is>
          <t>ESTRUCTURA DE DESGLOSE DEL TRABAJO</t>
        </is>
      </c>
      <c r="C7" s="270" t="inlineStr">
        <is>
          <t>TÍTULO DE LA TAREA</t>
        </is>
      </c>
      <c r="D7" s="266" t="inlineStr">
        <is>
          <t>PROPIETARIO DE LA TAREA</t>
        </is>
      </c>
      <c r="E7" s="242" t="inlineStr">
        <is>
          <t>CANTIDAD DE TRABAJO EN HORAS</t>
        </is>
      </c>
      <c r="F7" s="243" t="n"/>
      <c r="G7" s="244" t="n"/>
      <c r="H7" s="264" t="inlineStr">
        <is>
          <t>CARRERA</t>
        </is>
      </c>
      <c r="I7" s="268" t="inlineStr">
        <is>
          <t>FECHA DE INICIO</t>
        </is>
      </c>
      <c r="J7" s="269" t="inlineStr">
        <is>
          <t>FECHA DE VENCIMIENTO</t>
        </is>
      </c>
      <c r="K7" s="248" t="inlineStr">
        <is>
          <t>DURACIÓN</t>
        </is>
      </c>
      <c r="L7" s="250" t="inlineStr">
        <is>
          <t>PCT DE TAREA COMPLETADA</t>
        </is>
      </c>
      <c r="M7" s="252" t="inlineStr">
        <is>
          <t>SEMANA 1</t>
        </is>
      </c>
      <c r="N7" s="253" t="n"/>
      <c r="O7" s="253" t="n"/>
      <c r="P7" s="253" t="n"/>
      <c r="Q7" s="254" t="n"/>
      <c r="R7" s="255" t="inlineStr">
        <is>
          <t>SEMANA 2</t>
        </is>
      </c>
      <c r="S7" s="253" t="n"/>
      <c r="T7" s="253" t="n"/>
      <c r="U7" s="253" t="n"/>
      <c r="V7" s="254" t="n"/>
      <c r="W7" s="255" t="inlineStr">
        <is>
          <t>SEMANA 3</t>
        </is>
      </c>
      <c r="X7" s="253" t="n"/>
      <c r="Y7" s="253" t="n"/>
      <c r="Z7" s="253" t="n"/>
      <c r="AA7" s="254" t="n"/>
      <c r="AB7" s="257" t="inlineStr">
        <is>
          <t>SEMANA 4</t>
        </is>
      </c>
      <c r="AC7" s="253" t="n"/>
      <c r="AD7" s="253" t="n"/>
      <c r="AE7" s="253" t="n"/>
      <c r="AF7" s="254" t="n"/>
      <c r="AG7" s="258" t="inlineStr">
        <is>
          <t>SEMANA 5</t>
        </is>
      </c>
      <c r="AH7" s="253" t="n"/>
      <c r="AI7" s="253" t="n"/>
      <c r="AJ7" s="253" t="n"/>
      <c r="AK7" s="254" t="n"/>
      <c r="AL7" s="258" t="inlineStr">
        <is>
          <t>SEMANA 6</t>
        </is>
      </c>
      <c r="AM7" s="253" t="n"/>
      <c r="AN7" s="253" t="n"/>
      <c r="AO7" s="253" t="n"/>
      <c r="AP7" s="254" t="n"/>
      <c r="AQ7" s="256" t="inlineStr">
        <is>
          <t>SEMANA 7</t>
        </is>
      </c>
      <c r="AR7" s="253" t="n"/>
      <c r="AS7" s="253" t="n"/>
      <c r="AT7" s="253" t="n"/>
      <c r="AU7" s="254" t="n"/>
      <c r="AV7" s="259" t="inlineStr">
        <is>
          <t>SEMANA 8</t>
        </is>
      </c>
      <c r="AW7" s="253" t="n"/>
      <c r="AX7" s="253" t="n"/>
      <c r="AY7" s="253" t="n"/>
      <c r="AZ7" s="254" t="n"/>
      <c r="BA7" s="259" t="inlineStr">
        <is>
          <t>SEMANA 9</t>
        </is>
      </c>
      <c r="BB7" s="253" t="n"/>
      <c r="BC7" s="253" t="n"/>
      <c r="BD7" s="253" t="n"/>
      <c r="BE7" s="254" t="n"/>
      <c r="BF7" s="260" t="inlineStr">
        <is>
          <t>SEMANA 10</t>
        </is>
      </c>
      <c r="BG7" s="253" t="n"/>
      <c r="BH7" s="253" t="n"/>
      <c r="BI7" s="253" t="n"/>
      <c r="BJ7" s="254" t="n"/>
      <c r="BK7" s="272" t="inlineStr">
        <is>
          <t>SEMANA 11</t>
        </is>
      </c>
      <c r="BL7" s="253" t="n"/>
      <c r="BM7" s="253" t="n"/>
      <c r="BN7" s="253" t="n"/>
      <c r="BO7" s="254" t="n"/>
      <c r="BP7" s="272" t="inlineStr">
        <is>
          <t>SEMANA 12</t>
        </is>
      </c>
      <c r="BQ7" s="253" t="n"/>
      <c r="BR7" s="253" t="n"/>
      <c r="BS7" s="253" t="n"/>
      <c r="BT7" s="254" t="n"/>
      <c r="BU7" s="38" t="n"/>
      <c r="BV7" s="39" t="n"/>
    </row>
    <row r="8" ht="23.1" customHeight="1" s="240" thickBot="1">
      <c r="B8" s="263" t="n"/>
      <c r="C8" s="271" t="n"/>
      <c r="D8" s="267" t="n"/>
      <c r="E8" s="58" t="inlineStr">
        <is>
          <t>ESTIMAR</t>
        </is>
      </c>
      <c r="F8" s="59" t="inlineStr">
        <is>
          <t>COMPLETADO</t>
        </is>
      </c>
      <c r="G8" s="60" t="inlineStr">
        <is>
          <t>RESTANTE</t>
        </is>
      </c>
      <c r="H8" s="265" t="n"/>
      <c r="I8" s="254" t="n"/>
      <c r="J8" s="249" t="n"/>
      <c r="K8" s="249" t="n"/>
      <c r="L8" s="251" t="n"/>
      <c r="M8" s="61" t="inlineStr">
        <is>
          <t>M</t>
        </is>
      </c>
      <c r="N8" s="62" t="inlineStr">
        <is>
          <t>T</t>
        </is>
      </c>
      <c r="O8" s="62" t="inlineStr">
        <is>
          <t>W</t>
        </is>
      </c>
      <c r="P8" s="62" t="inlineStr">
        <is>
          <t>R</t>
        </is>
      </c>
      <c r="Q8" s="62" t="inlineStr">
        <is>
          <t>F</t>
        </is>
      </c>
      <c r="R8" s="62" t="inlineStr">
        <is>
          <t>M</t>
        </is>
      </c>
      <c r="S8" s="62" t="inlineStr">
        <is>
          <t>T</t>
        </is>
      </c>
      <c r="T8" s="62" t="inlineStr">
        <is>
          <t>W</t>
        </is>
      </c>
      <c r="U8" s="62" t="inlineStr">
        <is>
          <t>R</t>
        </is>
      </c>
      <c r="V8" s="62" t="inlineStr">
        <is>
          <t>F</t>
        </is>
      </c>
      <c r="W8" s="62" t="inlineStr">
        <is>
          <t>M</t>
        </is>
      </c>
      <c r="X8" s="62" t="inlineStr">
        <is>
          <t>T</t>
        </is>
      </c>
      <c r="Y8" s="62" t="inlineStr">
        <is>
          <t>W</t>
        </is>
      </c>
      <c r="Z8" s="62" t="inlineStr">
        <is>
          <t>R</t>
        </is>
      </c>
      <c r="AA8" s="63" t="inlineStr">
        <is>
          <t>F</t>
        </is>
      </c>
      <c r="AB8" s="64" t="inlineStr">
        <is>
          <t>M</t>
        </is>
      </c>
      <c r="AC8" s="65" t="inlineStr">
        <is>
          <t>T</t>
        </is>
      </c>
      <c r="AD8" s="65" t="inlineStr">
        <is>
          <t>W</t>
        </is>
      </c>
      <c r="AE8" s="65" t="inlineStr">
        <is>
          <t>R</t>
        </is>
      </c>
      <c r="AF8" s="65" t="inlineStr">
        <is>
          <t>F</t>
        </is>
      </c>
      <c r="AG8" s="65" t="inlineStr">
        <is>
          <t>M</t>
        </is>
      </c>
      <c r="AH8" s="65" t="inlineStr">
        <is>
          <t>T</t>
        </is>
      </c>
      <c r="AI8" s="65" t="inlineStr">
        <is>
          <t>W</t>
        </is>
      </c>
      <c r="AJ8" s="65" t="inlineStr">
        <is>
          <t>R</t>
        </is>
      </c>
      <c r="AK8" s="65" t="inlineStr">
        <is>
          <t>F</t>
        </is>
      </c>
      <c r="AL8" s="65" t="inlineStr">
        <is>
          <t>M</t>
        </is>
      </c>
      <c r="AM8" s="65" t="inlineStr">
        <is>
          <t>T</t>
        </is>
      </c>
      <c r="AN8" s="65" t="inlineStr">
        <is>
          <t>W</t>
        </is>
      </c>
      <c r="AO8" s="65" t="inlineStr">
        <is>
          <t>R</t>
        </is>
      </c>
      <c r="AP8" s="66" t="inlineStr">
        <is>
          <t>F</t>
        </is>
      </c>
      <c r="AQ8" s="67" t="inlineStr">
        <is>
          <t>M</t>
        </is>
      </c>
      <c r="AR8" s="68" t="inlineStr">
        <is>
          <t>T</t>
        </is>
      </c>
      <c r="AS8" s="68" t="inlineStr">
        <is>
          <t>W</t>
        </is>
      </c>
      <c r="AT8" s="68" t="inlineStr">
        <is>
          <t>R</t>
        </is>
      </c>
      <c r="AU8" s="68" t="inlineStr">
        <is>
          <t>F</t>
        </is>
      </c>
      <c r="AV8" s="68" t="inlineStr">
        <is>
          <t>M</t>
        </is>
      </c>
      <c r="AW8" s="68" t="inlineStr">
        <is>
          <t>T</t>
        </is>
      </c>
      <c r="AX8" s="68" t="inlineStr">
        <is>
          <t>W</t>
        </is>
      </c>
      <c r="AY8" s="68" t="inlineStr">
        <is>
          <t>R</t>
        </is>
      </c>
      <c r="AZ8" s="68" t="inlineStr">
        <is>
          <t>F</t>
        </is>
      </c>
      <c r="BA8" s="68" t="inlineStr">
        <is>
          <t>M</t>
        </is>
      </c>
      <c r="BB8" s="68" t="inlineStr">
        <is>
          <t>T</t>
        </is>
      </c>
      <c r="BC8" s="68" t="inlineStr">
        <is>
          <t>W</t>
        </is>
      </c>
      <c r="BD8" s="68" t="inlineStr">
        <is>
          <t>R</t>
        </is>
      </c>
      <c r="BE8" s="69" t="inlineStr">
        <is>
          <t>F</t>
        </is>
      </c>
      <c r="BF8" s="70" t="inlineStr">
        <is>
          <t>M</t>
        </is>
      </c>
      <c r="BG8" s="71" t="inlineStr">
        <is>
          <t>T</t>
        </is>
      </c>
      <c r="BH8" s="71" t="inlineStr">
        <is>
          <t>W</t>
        </is>
      </c>
      <c r="BI8" s="71" t="inlineStr">
        <is>
          <t>R</t>
        </is>
      </c>
      <c r="BJ8" s="71" t="inlineStr">
        <is>
          <t>F</t>
        </is>
      </c>
      <c r="BK8" s="71" t="inlineStr">
        <is>
          <t>M</t>
        </is>
      </c>
      <c r="BL8" s="71" t="inlineStr">
        <is>
          <t>T</t>
        </is>
      </c>
      <c r="BM8" s="71" t="inlineStr">
        <is>
          <t>W</t>
        </is>
      </c>
      <c r="BN8" s="71" t="inlineStr">
        <is>
          <t>R</t>
        </is>
      </c>
      <c r="BO8" s="71" t="inlineStr">
        <is>
          <t>F</t>
        </is>
      </c>
      <c r="BP8" s="71" t="inlineStr">
        <is>
          <t>M</t>
        </is>
      </c>
      <c r="BQ8" s="71" t="inlineStr">
        <is>
          <t>T</t>
        </is>
      </c>
      <c r="BR8" s="71" t="inlineStr">
        <is>
          <t>W</t>
        </is>
      </c>
      <c r="BS8" s="71" t="inlineStr">
        <is>
          <t>R</t>
        </is>
      </c>
      <c r="BT8" s="72" t="inlineStr">
        <is>
          <t>F</t>
        </is>
      </c>
      <c r="BU8" s="38" t="n"/>
      <c r="BV8" s="39" t="n"/>
    </row>
    <row r="9" ht="23.1" customHeight="1" s="240" thickTop="1">
      <c r="B9" s="141" t="n">
        <v>1</v>
      </c>
      <c r="C9" s="183" t="n"/>
      <c r="D9" s="184" t="n"/>
      <c r="E9" s="142">
        <f>SUM(E10:E16)</f>
        <v/>
      </c>
      <c r="F9" s="143">
        <f>SUM(F10:F16)</f>
        <v/>
      </c>
      <c r="G9" s="144">
        <f>SUM(G10:G16)</f>
        <v/>
      </c>
      <c r="H9" s="145" t="n"/>
      <c r="I9" s="146" t="n"/>
      <c r="J9" s="147" t="n"/>
      <c r="K9" s="148" t="n"/>
      <c r="L9" s="149">
        <f>IFERROR(F9/E9,"")</f>
        <v/>
      </c>
      <c r="M9" s="73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  <c r="AA9" s="75" t="n"/>
      <c r="AB9" s="73" t="n"/>
      <c r="AC9" s="74" t="n"/>
      <c r="AD9" s="74" t="n"/>
      <c r="AE9" s="74" t="n"/>
      <c r="AF9" s="7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5" t="n"/>
      <c r="AQ9" s="73" t="n"/>
      <c r="AR9" s="74" t="n"/>
      <c r="AS9" s="74" t="n"/>
      <c r="AT9" s="74" t="n"/>
      <c r="AU9" s="74" t="n"/>
      <c r="AV9" s="74" t="n"/>
      <c r="AW9" s="74" t="n"/>
      <c r="AX9" s="74" t="n"/>
      <c r="AY9" s="74" t="n"/>
      <c r="AZ9" s="74" t="n"/>
      <c r="BA9" s="74" t="n"/>
      <c r="BB9" s="74" t="n"/>
      <c r="BC9" s="74" t="n"/>
      <c r="BD9" s="74" t="n"/>
      <c r="BE9" s="75" t="n"/>
      <c r="BF9" s="73" t="n"/>
      <c r="BG9" s="74" t="n"/>
      <c r="BH9" s="74" t="n"/>
      <c r="BI9" s="74" t="n"/>
      <c r="BJ9" s="74" t="n"/>
      <c r="BK9" s="74" t="n"/>
      <c r="BL9" s="74" t="n"/>
      <c r="BM9" s="74" t="n"/>
      <c r="BN9" s="74" t="n"/>
      <c r="BO9" s="74" t="n"/>
      <c r="BP9" s="74" t="n"/>
      <c r="BQ9" s="74" t="n"/>
      <c r="BR9" s="74" t="n"/>
      <c r="BS9" s="74" t="n"/>
      <c r="BT9" s="75" t="n"/>
      <c r="BU9" s="38" t="n"/>
      <c r="BV9" s="39" t="n"/>
    </row>
    <row r="10" ht="23.1" customHeight="1" s="240">
      <c r="B10" s="150" t="n">
        <v>1.1</v>
      </c>
      <c r="C10" s="151" t="n"/>
      <c r="D10" s="152" t="n"/>
      <c r="E10" s="153" t="n"/>
      <c r="F10" s="154" t="n"/>
      <c r="G10" s="155">
        <f>E10-F10</f>
        <v/>
      </c>
      <c r="H10" s="156" t="n"/>
      <c r="I10" s="157" t="n"/>
      <c r="J10" s="158" t="n"/>
      <c r="K10" s="159">
        <f>J10-I10+1</f>
        <v/>
      </c>
      <c r="L10" s="160">
        <f>IFERROR(F10/E10,"")</f>
        <v/>
      </c>
      <c r="M10" s="27" t="n"/>
      <c r="N10" s="2" t="n"/>
      <c r="O10" s="2" t="n"/>
      <c r="P10" s="2" t="n"/>
      <c r="Q10" s="2" t="n"/>
      <c r="R10" s="3" t="n"/>
      <c r="S10" s="3" t="n"/>
      <c r="T10" s="3" t="n"/>
      <c r="U10" s="3" t="n"/>
      <c r="V10" s="3" t="n"/>
      <c r="W10" s="2" t="n"/>
      <c r="X10" s="2" t="n"/>
      <c r="Y10" s="2" t="n"/>
      <c r="Z10" s="2" t="n"/>
      <c r="AA10" s="4" t="n"/>
      <c r="AB10" s="1" t="n"/>
      <c r="AC10" s="2" t="n"/>
      <c r="AD10" s="2" t="n"/>
      <c r="AE10" s="2" t="n"/>
      <c r="AF10" s="2" t="n"/>
      <c r="AG10" s="5" t="n"/>
      <c r="AH10" s="5" t="n"/>
      <c r="AI10" s="5" t="n"/>
      <c r="AJ10" s="5" t="n"/>
      <c r="AK10" s="5" t="n"/>
      <c r="AL10" s="2" t="n"/>
      <c r="AM10" s="2" t="n"/>
      <c r="AN10" s="2" t="n"/>
      <c r="AO10" s="2" t="n"/>
      <c r="AP10" s="4" t="n"/>
      <c r="AQ10" s="1" t="n"/>
      <c r="AR10" s="2" t="n"/>
      <c r="AS10" s="2" t="n"/>
      <c r="AT10" s="2" t="n"/>
      <c r="AU10" s="2" t="n"/>
      <c r="AV10" s="6" t="n"/>
      <c r="AW10" s="6" t="n"/>
      <c r="AX10" s="6" t="n"/>
      <c r="AY10" s="6" t="n"/>
      <c r="AZ10" s="6" t="n"/>
      <c r="BA10" s="2" t="n"/>
      <c r="BB10" s="2" t="n"/>
      <c r="BC10" s="2" t="n"/>
      <c r="BD10" s="2" t="n"/>
      <c r="BE10" s="4" t="n"/>
      <c r="BF10" s="1" t="n"/>
      <c r="BG10" s="2" t="n"/>
      <c r="BH10" s="2" t="n"/>
      <c r="BI10" s="2" t="n"/>
      <c r="BJ10" s="2" t="n"/>
      <c r="BK10" s="7" t="n"/>
      <c r="BL10" s="7" t="n"/>
      <c r="BM10" s="7" t="n"/>
      <c r="BN10" s="7" t="n"/>
      <c r="BO10" s="7" t="n"/>
      <c r="BP10" s="2" t="n"/>
      <c r="BQ10" s="2" t="n"/>
      <c r="BR10" s="2" t="n"/>
      <c r="BS10" s="2" t="n"/>
      <c r="BT10" s="4" t="n"/>
      <c r="BU10" s="38" t="n"/>
      <c r="BV10" s="39" t="n"/>
    </row>
    <row r="11" ht="23.1" customHeight="1" s="240">
      <c r="B11" s="150" t="inlineStr">
        <is>
          <t>1.1.1</t>
        </is>
      </c>
      <c r="C11" s="161" t="n"/>
      <c r="D11" s="162" t="n"/>
      <c r="E11" s="153" t="n"/>
      <c r="F11" s="154" t="n"/>
      <c r="G11" s="155">
        <f>E11-F11</f>
        <v/>
      </c>
      <c r="H11" s="163" t="n"/>
      <c r="I11" s="157" t="n"/>
      <c r="J11" s="158" t="n"/>
      <c r="K11" s="159">
        <f>J11-I11+1</f>
        <v/>
      </c>
      <c r="L11" s="160">
        <f>IFERROR(F11/E11,"")</f>
        <v/>
      </c>
      <c r="M11" s="1" t="n"/>
      <c r="N11" s="2" t="n"/>
      <c r="O11" s="2" t="n"/>
      <c r="P11" s="2" t="n"/>
      <c r="Q11" s="2" t="n"/>
      <c r="R11" s="3" t="n"/>
      <c r="S11" s="3" t="n"/>
      <c r="T11" s="3" t="n"/>
      <c r="U11" s="3" t="n"/>
      <c r="V11" s="3" t="n"/>
      <c r="W11" s="2" t="n"/>
      <c r="X11" s="2" t="n"/>
      <c r="Y11" s="2" t="n"/>
      <c r="Z11" s="2" t="n"/>
      <c r="AA11" s="4" t="n"/>
      <c r="AB11" s="1" t="n"/>
      <c r="AC11" s="2" t="n"/>
      <c r="AD11" s="2" t="n"/>
      <c r="AE11" s="2" t="n"/>
      <c r="AF11" s="2" t="n"/>
      <c r="AG11" s="5" t="n"/>
      <c r="AH11" s="5" t="n"/>
      <c r="AI11" s="5" t="n"/>
      <c r="AJ11" s="5" t="n"/>
      <c r="AK11" s="5" t="n"/>
      <c r="AL11" s="2" t="n"/>
      <c r="AM11" s="2" t="n"/>
      <c r="AN11" s="2" t="n"/>
      <c r="AO11" s="2" t="n"/>
      <c r="AP11" s="4" t="n"/>
      <c r="AQ11" s="1" t="n"/>
      <c r="AR11" s="2" t="n"/>
      <c r="AS11" s="2" t="n"/>
      <c r="AT11" s="2" t="n"/>
      <c r="AU11" s="2" t="n"/>
      <c r="AV11" s="6" t="n"/>
      <c r="AW11" s="6" t="n"/>
      <c r="AX11" s="6" t="n"/>
      <c r="AY11" s="6" t="n"/>
      <c r="AZ11" s="6" t="n"/>
      <c r="BA11" s="2" t="n"/>
      <c r="BB11" s="2" t="n"/>
      <c r="BC11" s="2" t="n"/>
      <c r="BD11" s="2" t="n"/>
      <c r="BE11" s="4" t="n"/>
      <c r="BF11" s="1" t="n"/>
      <c r="BG11" s="2" t="n"/>
      <c r="BH11" s="2" t="n"/>
      <c r="BI11" s="2" t="n"/>
      <c r="BJ11" s="2" t="n"/>
      <c r="BK11" s="7" t="n"/>
      <c r="BL11" s="7" t="n"/>
      <c r="BM11" s="7" t="n"/>
      <c r="BN11" s="7" t="n"/>
      <c r="BO11" s="7" t="n"/>
      <c r="BP11" s="2" t="n"/>
      <c r="BQ11" s="2" t="n"/>
      <c r="BR11" s="2" t="n"/>
      <c r="BS11" s="2" t="n"/>
      <c r="BT11" s="4" t="n"/>
      <c r="BU11" s="38" t="n"/>
      <c r="BV11" s="39" t="n"/>
    </row>
    <row r="12" ht="23.1" customHeight="1" s="240">
      <c r="B12" s="150" t="n">
        <v>1.2</v>
      </c>
      <c r="C12" s="151" t="n"/>
      <c r="D12" s="152" t="n"/>
      <c r="E12" s="153" t="n"/>
      <c r="F12" s="154" t="n"/>
      <c r="G12" s="155">
        <f>E12-F12</f>
        <v/>
      </c>
      <c r="H12" s="156" t="n"/>
      <c r="I12" s="157" t="n"/>
      <c r="J12" s="158" t="n"/>
      <c r="K12" s="159">
        <f>J12-I12+1</f>
        <v/>
      </c>
      <c r="L12" s="160">
        <f>IFERROR(F12/E12,"")</f>
        <v/>
      </c>
      <c r="M12" s="1" t="n"/>
      <c r="N12" s="2" t="n"/>
      <c r="O12" s="2" t="n"/>
      <c r="P12" s="2" t="n"/>
      <c r="Q12" s="2" t="n"/>
      <c r="R12" s="3" t="n"/>
      <c r="S12" s="3" t="n"/>
      <c r="T12" s="3" t="n"/>
      <c r="U12" s="3" t="n"/>
      <c r="V12" s="3" t="n"/>
      <c r="W12" s="2" t="n"/>
      <c r="X12" s="2" t="n"/>
      <c r="Y12" s="2" t="n"/>
      <c r="Z12" s="2" t="n"/>
      <c r="AA12" s="4" t="n"/>
      <c r="AB12" s="1" t="n"/>
      <c r="AC12" s="2" t="n"/>
      <c r="AD12" s="2" t="n"/>
      <c r="AE12" s="2" t="n"/>
      <c r="AF12" s="2" t="n"/>
      <c r="AG12" s="5" t="n"/>
      <c r="AH12" s="5" t="n"/>
      <c r="AI12" s="5" t="n"/>
      <c r="AJ12" s="5" t="n"/>
      <c r="AK12" s="5" t="n"/>
      <c r="AL12" s="2" t="n"/>
      <c r="AM12" s="2" t="n"/>
      <c r="AN12" s="2" t="n"/>
      <c r="AO12" s="2" t="n"/>
      <c r="AP12" s="4" t="n"/>
      <c r="AQ12" s="1" t="n"/>
      <c r="AR12" s="2" t="n"/>
      <c r="AS12" s="2" t="n"/>
      <c r="AT12" s="2" t="n"/>
      <c r="AU12" s="2" t="n"/>
      <c r="AV12" s="6" t="n"/>
      <c r="AW12" s="6" t="n"/>
      <c r="AX12" s="6" t="n"/>
      <c r="AY12" s="6" t="n"/>
      <c r="AZ12" s="6" t="n"/>
      <c r="BA12" s="2" t="n"/>
      <c r="BB12" s="2" t="n"/>
      <c r="BC12" s="2" t="n"/>
      <c r="BD12" s="2" t="n"/>
      <c r="BE12" s="4" t="n"/>
      <c r="BF12" s="1" t="n"/>
      <c r="BG12" s="2" t="n"/>
      <c r="BH12" s="2" t="n"/>
      <c r="BI12" s="2" t="n"/>
      <c r="BJ12" s="2" t="n"/>
      <c r="BK12" s="7" t="n"/>
      <c r="BL12" s="7" t="n"/>
      <c r="BM12" s="7" t="n"/>
      <c r="BN12" s="7" t="n"/>
      <c r="BO12" s="7" t="n"/>
      <c r="BP12" s="2" t="n"/>
      <c r="BQ12" s="2" t="n"/>
      <c r="BR12" s="2" t="n"/>
      <c r="BS12" s="2" t="n"/>
      <c r="BT12" s="4" t="n"/>
      <c r="BU12" s="38" t="n"/>
      <c r="BV12" s="39" t="n"/>
    </row>
    <row r="13" ht="23.1" customHeight="1" s="240">
      <c r="B13" s="150" t="n">
        <v>1.3</v>
      </c>
      <c r="C13" s="151" t="n"/>
      <c r="D13" s="152" t="n"/>
      <c r="E13" s="153" t="n"/>
      <c r="F13" s="154" t="n"/>
      <c r="G13" s="155">
        <f>E13-F13</f>
        <v/>
      </c>
      <c r="H13" s="156" t="n"/>
      <c r="I13" s="157" t="n"/>
      <c r="J13" s="158" t="n"/>
      <c r="K13" s="159">
        <f>J13-I13+1</f>
        <v/>
      </c>
      <c r="L13" s="160">
        <f>IFERROR(F13/E13,"")</f>
        <v/>
      </c>
      <c r="M13" s="1" t="n"/>
      <c r="N13" s="2" t="n"/>
      <c r="O13" s="2" t="n"/>
      <c r="P13" s="2" t="n"/>
      <c r="Q13" s="2" t="n"/>
      <c r="R13" s="3" t="n"/>
      <c r="S13" s="3" t="n"/>
      <c r="T13" s="3" t="n"/>
      <c r="U13" s="3" t="n"/>
      <c r="V13" s="3" t="n"/>
      <c r="W13" s="2" t="n"/>
      <c r="X13" s="2" t="n"/>
      <c r="Y13" s="2" t="n"/>
      <c r="Z13" s="2" t="n"/>
      <c r="AA13" s="4" t="n"/>
      <c r="AB13" s="1" t="n"/>
      <c r="AC13" s="2" t="n"/>
      <c r="AD13" s="2" t="n"/>
      <c r="AE13" s="2" t="n"/>
      <c r="AF13" s="2" t="n"/>
      <c r="AG13" s="5" t="n"/>
      <c r="AH13" s="5" t="n"/>
      <c r="AI13" s="5" t="n"/>
      <c r="AJ13" s="5" t="n"/>
      <c r="AK13" s="5" t="n"/>
      <c r="AL13" s="2" t="n"/>
      <c r="AM13" s="2" t="n"/>
      <c r="AN13" s="2" t="n"/>
      <c r="AO13" s="2" t="n"/>
      <c r="AP13" s="4" t="n"/>
      <c r="AQ13" s="1" t="n"/>
      <c r="AR13" s="2" t="n"/>
      <c r="AS13" s="2" t="n"/>
      <c r="AT13" s="2" t="n"/>
      <c r="AU13" s="2" t="n"/>
      <c r="AV13" s="6" t="n"/>
      <c r="AW13" s="6" t="n"/>
      <c r="AX13" s="6" t="n"/>
      <c r="AY13" s="6" t="n"/>
      <c r="AZ13" s="6" t="n"/>
      <c r="BA13" s="2" t="n"/>
      <c r="BB13" s="2" t="n"/>
      <c r="BC13" s="2" t="n"/>
      <c r="BD13" s="2" t="n"/>
      <c r="BE13" s="4" t="n"/>
      <c r="BF13" s="1" t="n"/>
      <c r="BG13" s="2" t="n"/>
      <c r="BH13" s="2" t="n"/>
      <c r="BI13" s="2" t="n"/>
      <c r="BJ13" s="2" t="n"/>
      <c r="BK13" s="7" t="n"/>
      <c r="BL13" s="7" t="n"/>
      <c r="BM13" s="7" t="n"/>
      <c r="BN13" s="7" t="n"/>
      <c r="BO13" s="7" t="n"/>
      <c r="BP13" s="2" t="n"/>
      <c r="BQ13" s="2" t="n"/>
      <c r="BR13" s="2" t="n"/>
      <c r="BS13" s="2" t="n"/>
      <c r="BT13" s="4" t="n"/>
      <c r="BU13" s="38" t="n"/>
      <c r="BV13" s="39" t="n"/>
    </row>
    <row r="14" ht="23.1" customHeight="1" s="240">
      <c r="B14" s="150" t="n">
        <v>1.4</v>
      </c>
      <c r="C14" s="151" t="n"/>
      <c r="D14" s="152" t="n"/>
      <c r="E14" s="153" t="n"/>
      <c r="F14" s="154" t="n"/>
      <c r="G14" s="155">
        <f>E14-F14</f>
        <v/>
      </c>
      <c r="H14" s="156" t="n"/>
      <c r="I14" s="157" t="n"/>
      <c r="J14" s="158" t="n"/>
      <c r="K14" s="159">
        <f>J14-I14+1</f>
        <v/>
      </c>
      <c r="L14" s="160">
        <f>IFERROR(F14/E14,"")</f>
        <v/>
      </c>
      <c r="M14" s="1" t="n"/>
      <c r="N14" s="2" t="n"/>
      <c r="O14" s="2" t="n"/>
      <c r="P14" s="2" t="n"/>
      <c r="Q14" s="2" t="n"/>
      <c r="R14" s="3" t="n"/>
      <c r="S14" s="3" t="n"/>
      <c r="T14" s="3" t="n"/>
      <c r="U14" s="3" t="n"/>
      <c r="V14" s="3" t="n"/>
      <c r="W14" s="2" t="n"/>
      <c r="X14" s="2" t="n"/>
      <c r="Y14" s="2" t="n"/>
      <c r="Z14" s="2" t="n"/>
      <c r="AA14" s="4" t="n"/>
      <c r="AB14" s="1" t="n"/>
      <c r="AC14" s="2" t="n"/>
      <c r="AD14" s="2" t="n"/>
      <c r="AE14" s="2" t="n"/>
      <c r="AF14" s="2" t="n"/>
      <c r="AG14" s="5" t="n"/>
      <c r="AH14" s="5" t="n"/>
      <c r="AI14" s="5" t="n"/>
      <c r="AJ14" s="5" t="n"/>
      <c r="AK14" s="5" t="n"/>
      <c r="AL14" s="2" t="n"/>
      <c r="AM14" s="2" t="n"/>
      <c r="AN14" s="2" t="n"/>
      <c r="AO14" s="2" t="n"/>
      <c r="AP14" s="4" t="n"/>
      <c r="AQ14" s="1" t="n"/>
      <c r="AR14" s="2" t="n"/>
      <c r="AS14" s="2" t="n"/>
      <c r="AT14" s="2" t="n"/>
      <c r="AU14" s="2" t="n"/>
      <c r="AV14" s="6" t="n"/>
      <c r="AW14" s="6" t="n"/>
      <c r="AX14" s="6" t="n"/>
      <c r="AY14" s="6" t="n"/>
      <c r="AZ14" s="6" t="n"/>
      <c r="BA14" s="2" t="n"/>
      <c r="BB14" s="2" t="n"/>
      <c r="BC14" s="2" t="n"/>
      <c r="BD14" s="2" t="n"/>
      <c r="BE14" s="4" t="n"/>
      <c r="BF14" s="1" t="n"/>
      <c r="BG14" s="2" t="n"/>
      <c r="BH14" s="2" t="n"/>
      <c r="BI14" s="2" t="n"/>
      <c r="BJ14" s="2" t="n"/>
      <c r="BK14" s="7" t="n"/>
      <c r="BL14" s="7" t="n"/>
      <c r="BM14" s="7" t="n"/>
      <c r="BN14" s="7" t="n"/>
      <c r="BO14" s="7" t="n"/>
      <c r="BP14" s="2" t="n"/>
      <c r="BQ14" s="2" t="n"/>
      <c r="BR14" s="2" t="n"/>
      <c r="BS14" s="2" t="n"/>
      <c r="BT14" s="4" t="n"/>
      <c r="BU14" s="38" t="n"/>
      <c r="BV14" s="39" t="n"/>
    </row>
    <row r="15" ht="23.1" customHeight="1" s="240">
      <c r="B15" s="150" t="n">
        <v>1.5</v>
      </c>
      <c r="C15" s="151" t="n"/>
      <c r="D15" s="152" t="n"/>
      <c r="E15" s="153" t="n"/>
      <c r="F15" s="154" t="n"/>
      <c r="G15" s="155">
        <f>E15-F15</f>
        <v/>
      </c>
      <c r="H15" s="156" t="n"/>
      <c r="I15" s="157" t="n"/>
      <c r="J15" s="158" t="n"/>
      <c r="K15" s="159">
        <f>J15-I15+1</f>
        <v/>
      </c>
      <c r="L15" s="160">
        <f>IFERROR(F15/E15,"")</f>
        <v/>
      </c>
      <c r="M15" s="1" t="n"/>
      <c r="N15" s="2" t="n"/>
      <c r="O15" s="2" t="n"/>
      <c r="P15" s="2" t="n"/>
      <c r="Q15" s="2" t="n"/>
      <c r="R15" s="3" t="n"/>
      <c r="S15" s="3" t="n"/>
      <c r="T15" s="3" t="n"/>
      <c r="U15" s="3" t="n"/>
      <c r="V15" s="3" t="n"/>
      <c r="W15" s="2" t="n"/>
      <c r="X15" s="2" t="n"/>
      <c r="Y15" s="2" t="n"/>
      <c r="Z15" s="2" t="n"/>
      <c r="AA15" s="4" t="n"/>
      <c r="AB15" s="1" t="n"/>
      <c r="AC15" s="2" t="n"/>
      <c r="AD15" s="2" t="n"/>
      <c r="AE15" s="2" t="n"/>
      <c r="AF15" s="2" t="n"/>
      <c r="AG15" s="5" t="n"/>
      <c r="AH15" s="5" t="n"/>
      <c r="AI15" s="5" t="n"/>
      <c r="AJ15" s="5" t="n"/>
      <c r="AK15" s="5" t="n"/>
      <c r="AL15" s="2" t="n"/>
      <c r="AM15" s="2" t="n"/>
      <c r="AN15" s="2" t="n"/>
      <c r="AO15" s="2" t="n"/>
      <c r="AP15" s="4" t="n"/>
      <c r="AQ15" s="1" t="n"/>
      <c r="AR15" s="2" t="n"/>
      <c r="AS15" s="2" t="n"/>
      <c r="AT15" s="2" t="n"/>
      <c r="AU15" s="2" t="n"/>
      <c r="AV15" s="6" t="n"/>
      <c r="AW15" s="6" t="n"/>
      <c r="AX15" s="6" t="n"/>
      <c r="AY15" s="6" t="n"/>
      <c r="AZ15" s="6" t="n"/>
      <c r="BA15" s="2" t="n"/>
      <c r="BB15" s="2" t="n"/>
      <c r="BC15" s="2" t="n"/>
      <c r="BD15" s="2" t="n"/>
      <c r="BE15" s="4" t="n"/>
      <c r="BF15" s="1" t="n"/>
      <c r="BG15" s="2" t="n"/>
      <c r="BH15" s="2" t="n"/>
      <c r="BI15" s="2" t="n"/>
      <c r="BJ15" s="2" t="n"/>
      <c r="BK15" s="7" t="n"/>
      <c r="BL15" s="7" t="n"/>
      <c r="BM15" s="7" t="n"/>
      <c r="BN15" s="7" t="n"/>
      <c r="BO15" s="7" t="n"/>
      <c r="BP15" s="2" t="n"/>
      <c r="BQ15" s="2" t="n"/>
      <c r="BR15" s="2" t="n"/>
      <c r="BS15" s="2" t="n"/>
      <c r="BT15" s="4" t="n"/>
      <c r="BU15" s="38" t="n"/>
      <c r="BV15" s="39" t="n"/>
    </row>
    <row r="16" ht="23.1" customHeight="1" s="240">
      <c r="B16" s="150" t="n">
        <v>1.6</v>
      </c>
      <c r="C16" s="151" t="n"/>
      <c r="D16" s="152" t="n"/>
      <c r="E16" s="153" t="n"/>
      <c r="F16" s="154" t="n"/>
      <c r="G16" s="155">
        <f>E16-F16</f>
        <v/>
      </c>
      <c r="H16" s="156" t="n"/>
      <c r="I16" s="157" t="n"/>
      <c r="J16" s="158" t="n"/>
      <c r="K16" s="159">
        <f>J16-I16+1</f>
        <v/>
      </c>
      <c r="L16" s="160">
        <f>IFERROR(F16/E16,"")</f>
        <v/>
      </c>
      <c r="M16" s="1" t="n"/>
      <c r="N16" s="2" t="n"/>
      <c r="O16" s="2" t="n"/>
      <c r="P16" s="2" t="n"/>
      <c r="Q16" s="2" t="n"/>
      <c r="R16" s="3" t="n"/>
      <c r="S16" s="3" t="n"/>
      <c r="T16" s="3" t="n"/>
      <c r="U16" s="3" t="n"/>
      <c r="V16" s="3" t="n"/>
      <c r="W16" s="2" t="n"/>
      <c r="X16" s="2" t="n"/>
      <c r="Y16" s="2" t="n"/>
      <c r="Z16" s="2" t="n"/>
      <c r="AA16" s="4" t="n"/>
      <c r="AB16" s="1" t="n"/>
      <c r="AC16" s="2" t="n"/>
      <c r="AD16" s="2" t="n"/>
      <c r="AE16" s="2" t="n"/>
      <c r="AF16" s="2" t="n"/>
      <c r="AG16" s="5" t="n"/>
      <c r="AH16" s="5" t="n"/>
      <c r="AI16" s="5" t="n"/>
      <c r="AJ16" s="5" t="n"/>
      <c r="AK16" s="5" t="n"/>
      <c r="AL16" s="2" t="n"/>
      <c r="AM16" s="2" t="n"/>
      <c r="AN16" s="2" t="n"/>
      <c r="AO16" s="2" t="n"/>
      <c r="AP16" s="4" t="n"/>
      <c r="AQ16" s="1" t="n"/>
      <c r="AR16" s="2" t="n"/>
      <c r="AS16" s="2" t="n"/>
      <c r="AT16" s="2" t="n"/>
      <c r="AU16" s="2" t="n"/>
      <c r="AV16" s="6" t="n"/>
      <c r="AW16" s="6" t="n"/>
      <c r="AX16" s="6" t="n"/>
      <c r="AY16" s="6" t="n"/>
      <c r="AZ16" s="6" t="n"/>
      <c r="BA16" s="2" t="n"/>
      <c r="BB16" s="2" t="n"/>
      <c r="BC16" s="2" t="n"/>
      <c r="BD16" s="2" t="n"/>
      <c r="BE16" s="4" t="n"/>
      <c r="BF16" s="1" t="n"/>
      <c r="BG16" s="2" t="n"/>
      <c r="BH16" s="2" t="n"/>
      <c r="BI16" s="2" t="n"/>
      <c r="BJ16" s="2" t="n"/>
      <c r="BK16" s="7" t="n"/>
      <c r="BL16" s="7" t="n"/>
      <c r="BM16" s="7" t="n"/>
      <c r="BN16" s="7" t="n"/>
      <c r="BO16" s="7" t="n"/>
      <c r="BP16" s="2" t="n"/>
      <c r="BQ16" s="2" t="n"/>
      <c r="BR16" s="2" t="n"/>
      <c r="BS16" s="2" t="n"/>
      <c r="BT16" s="4" t="n"/>
      <c r="BU16" s="38" t="n"/>
      <c r="BV16" s="39" t="n"/>
    </row>
    <row r="17" ht="23.1" customHeight="1" s="240">
      <c r="B17" s="150" t="n">
        <v>2</v>
      </c>
      <c r="C17" s="185" t="n"/>
      <c r="D17" s="186" t="n"/>
      <c r="E17" s="142">
        <f>SUM(E18:E21)</f>
        <v/>
      </c>
      <c r="F17" s="143">
        <f>SUM(F18:F21)</f>
        <v/>
      </c>
      <c r="G17" s="144">
        <f>SUM(G18:G21)</f>
        <v/>
      </c>
      <c r="H17" s="164" t="n"/>
      <c r="I17" s="165" t="n"/>
      <c r="J17" s="166" t="n"/>
      <c r="K17" s="167" t="n"/>
      <c r="L17" s="149">
        <f>IFERROR(F17/E17,"")</f>
        <v/>
      </c>
      <c r="M17" s="16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8" t="n"/>
      <c r="AB17" s="16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8" t="n"/>
      <c r="AQ17" s="16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8" t="n"/>
      <c r="BF17" s="16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8" t="n"/>
      <c r="BU17" s="38" t="n"/>
      <c r="BV17" s="39" t="n"/>
    </row>
    <row r="18" ht="23.1" customHeight="1" s="240">
      <c r="B18" s="150" t="n">
        <v>2.1</v>
      </c>
      <c r="C18" s="151" t="n"/>
      <c r="D18" s="152" t="n"/>
      <c r="E18" s="153" t="n"/>
      <c r="F18" s="154" t="n"/>
      <c r="G18" s="155">
        <f>E18-F18</f>
        <v/>
      </c>
      <c r="H18" s="156" t="n"/>
      <c r="I18" s="157" t="n"/>
      <c r="J18" s="158" t="n"/>
      <c r="K18" s="159">
        <f>J18-I18+1</f>
        <v/>
      </c>
      <c r="L18" s="160">
        <f>IFERROR(F18/E18,"")</f>
        <v/>
      </c>
      <c r="M18" s="1" t="n"/>
      <c r="N18" s="2" t="n"/>
      <c r="O18" s="2" t="n"/>
      <c r="P18" s="2" t="n"/>
      <c r="Q18" s="2" t="n"/>
      <c r="R18" s="3" t="n"/>
      <c r="S18" s="3" t="n"/>
      <c r="T18" s="3" t="n"/>
      <c r="U18" s="3" t="n"/>
      <c r="V18" s="3" t="n"/>
      <c r="W18" s="2" t="n"/>
      <c r="X18" s="2" t="n"/>
      <c r="Y18" s="2" t="n"/>
      <c r="Z18" s="2" t="n"/>
      <c r="AA18" s="4" t="n"/>
      <c r="AB18" s="28" t="n"/>
      <c r="AC18" s="2" t="n"/>
      <c r="AD18" s="2" t="n"/>
      <c r="AE18" s="2" t="n"/>
      <c r="AF18" s="2" t="n"/>
      <c r="AG18" s="5" t="n"/>
      <c r="AH18" s="5" t="n"/>
      <c r="AI18" s="5" t="n"/>
      <c r="AJ18" s="5" t="n"/>
      <c r="AK18" s="5" t="n"/>
      <c r="AL18" s="2" t="n"/>
      <c r="AM18" s="2" t="n"/>
      <c r="AN18" s="2" t="n"/>
      <c r="AO18" s="2" t="n"/>
      <c r="AP18" s="4" t="n"/>
      <c r="AQ18" s="1" t="n"/>
      <c r="AR18" s="2" t="n"/>
      <c r="AS18" s="2" t="n"/>
      <c r="AT18" s="2" t="n"/>
      <c r="AU18" s="2" t="n"/>
      <c r="AV18" s="6" t="n"/>
      <c r="AW18" s="6" t="n"/>
      <c r="AX18" s="6" t="n"/>
      <c r="AY18" s="6" t="n"/>
      <c r="AZ18" s="6" t="n"/>
      <c r="BA18" s="2" t="n"/>
      <c r="BB18" s="2" t="n"/>
      <c r="BC18" s="2" t="n"/>
      <c r="BD18" s="2" t="n"/>
      <c r="BE18" s="4" t="n"/>
      <c r="BF18" s="1" t="n"/>
      <c r="BG18" s="2" t="n"/>
      <c r="BH18" s="2" t="n"/>
      <c r="BI18" s="2" t="n"/>
      <c r="BJ18" s="2" t="n"/>
      <c r="BK18" s="7" t="n"/>
      <c r="BL18" s="7" t="n"/>
      <c r="BM18" s="7" t="n"/>
      <c r="BN18" s="7" t="n"/>
      <c r="BO18" s="7" t="n"/>
      <c r="BP18" s="2" t="n"/>
      <c r="BQ18" s="2" t="n"/>
      <c r="BR18" s="2" t="n"/>
      <c r="BS18" s="2" t="n"/>
      <c r="BT18" s="4" t="n"/>
      <c r="BU18" s="38" t="n"/>
      <c r="BV18" s="39" t="n"/>
    </row>
    <row r="19" ht="23.1" customHeight="1" s="240">
      <c r="B19" s="150" t="n">
        <v>2.2</v>
      </c>
      <c r="C19" s="151" t="n"/>
      <c r="D19" s="152" t="n"/>
      <c r="E19" s="153" t="n"/>
      <c r="F19" s="154" t="n"/>
      <c r="G19" s="155">
        <f>E19-F19</f>
        <v/>
      </c>
      <c r="H19" s="156" t="n"/>
      <c r="I19" s="157" t="n"/>
      <c r="J19" s="158" t="n"/>
      <c r="K19" s="159">
        <f>J19-I19+1</f>
        <v/>
      </c>
      <c r="L19" s="160">
        <f>IFERROR(F19/E19,"")</f>
        <v/>
      </c>
      <c r="M19" s="1" t="n"/>
      <c r="N19" s="2" t="n"/>
      <c r="O19" s="2" t="n"/>
      <c r="P19" s="2" t="n"/>
      <c r="Q19" s="2" t="n"/>
      <c r="R19" s="3" t="n"/>
      <c r="S19" s="3" t="n"/>
      <c r="T19" s="3" t="n"/>
      <c r="U19" s="3" t="n"/>
      <c r="V19" s="3" t="n"/>
      <c r="W19" s="2" t="n"/>
      <c r="X19" s="2" t="n"/>
      <c r="Y19" s="2" t="n"/>
      <c r="Z19" s="2" t="n"/>
      <c r="AA19" s="4" t="n"/>
      <c r="AB19" s="1" t="n"/>
      <c r="AC19" s="2" t="n"/>
      <c r="AD19" s="2" t="n"/>
      <c r="AE19" s="2" t="n"/>
      <c r="AF19" s="2" t="n"/>
      <c r="AG19" s="5" t="n"/>
      <c r="AH19" s="5" t="n"/>
      <c r="AI19" s="5" t="n"/>
      <c r="AJ19" s="5" t="n"/>
      <c r="AK19" s="5" t="n"/>
      <c r="AL19" s="2" t="n"/>
      <c r="AM19" s="2" t="n"/>
      <c r="AN19" s="2" t="n"/>
      <c r="AO19" s="2" t="n"/>
      <c r="AP19" s="4" t="n"/>
      <c r="AQ19" s="1" t="n"/>
      <c r="AR19" s="2" t="n"/>
      <c r="AS19" s="2" t="n"/>
      <c r="AT19" s="2" t="n"/>
      <c r="AU19" s="2" t="n"/>
      <c r="AV19" s="6" t="n"/>
      <c r="AW19" s="6" t="n"/>
      <c r="AX19" s="6" t="n"/>
      <c r="AY19" s="6" t="n"/>
      <c r="AZ19" s="6" t="n"/>
      <c r="BA19" s="2" t="n"/>
      <c r="BB19" s="2" t="n"/>
      <c r="BC19" s="2" t="n"/>
      <c r="BD19" s="2" t="n"/>
      <c r="BE19" s="4" t="n"/>
      <c r="BF19" s="1" t="n"/>
      <c r="BG19" s="2" t="n"/>
      <c r="BH19" s="2" t="n"/>
      <c r="BI19" s="2" t="n"/>
      <c r="BJ19" s="2" t="n"/>
      <c r="BK19" s="7" t="n"/>
      <c r="BL19" s="7" t="n"/>
      <c r="BM19" s="7" t="n"/>
      <c r="BN19" s="7" t="n"/>
      <c r="BO19" s="7" t="n"/>
      <c r="BP19" s="2" t="n"/>
      <c r="BQ19" s="2" t="n"/>
      <c r="BR19" s="2" t="n"/>
      <c r="BS19" s="2" t="n"/>
      <c r="BT19" s="4" t="n"/>
      <c r="BU19" s="38" t="n"/>
      <c r="BV19" s="39" t="n"/>
    </row>
    <row r="20" ht="23.1" customHeight="1" s="240">
      <c r="B20" s="150" t="n">
        <v>2.3</v>
      </c>
      <c r="C20" s="151" t="n"/>
      <c r="D20" s="152" t="n"/>
      <c r="E20" s="153" t="n"/>
      <c r="F20" s="154" t="n"/>
      <c r="G20" s="155">
        <f>E20-F20</f>
        <v/>
      </c>
      <c r="H20" s="156" t="n"/>
      <c r="I20" s="157" t="n"/>
      <c r="J20" s="158" t="n"/>
      <c r="K20" s="159">
        <f>J20-I20+1</f>
        <v/>
      </c>
      <c r="L20" s="160">
        <f>IFERROR(F20/E20,"")</f>
        <v/>
      </c>
      <c r="M20" s="1" t="n"/>
      <c r="N20" s="2" t="n"/>
      <c r="O20" s="2" t="n"/>
      <c r="P20" s="2" t="n"/>
      <c r="Q20" s="2" t="n"/>
      <c r="R20" s="3" t="n"/>
      <c r="S20" s="3" t="n"/>
      <c r="T20" s="3" t="n"/>
      <c r="U20" s="3" t="n"/>
      <c r="V20" s="3" t="n"/>
      <c r="W20" s="2" t="n"/>
      <c r="X20" s="2" t="n"/>
      <c r="Y20" s="2" t="n"/>
      <c r="Z20" s="2" t="n"/>
      <c r="AA20" s="4" t="n"/>
      <c r="AB20" s="1" t="n"/>
      <c r="AC20" s="2" t="n"/>
      <c r="AD20" s="2" t="n"/>
      <c r="AE20" s="2" t="n"/>
      <c r="AF20" s="2" t="n"/>
      <c r="AG20" s="5" t="n"/>
      <c r="AH20" s="5" t="n"/>
      <c r="AI20" s="5" t="n"/>
      <c r="AJ20" s="5" t="n"/>
      <c r="AK20" s="5" t="n"/>
      <c r="AL20" s="2" t="n"/>
      <c r="AM20" s="2" t="n"/>
      <c r="AN20" s="2" t="n"/>
      <c r="AO20" s="2" t="n"/>
      <c r="AP20" s="4" t="n"/>
      <c r="AQ20" s="1" t="n"/>
      <c r="AR20" s="2" t="n"/>
      <c r="AS20" s="2" t="n"/>
      <c r="AT20" s="2" t="n"/>
      <c r="AU20" s="2" t="n"/>
      <c r="AV20" s="6" t="n"/>
      <c r="AW20" s="6" t="n"/>
      <c r="AX20" s="6" t="n"/>
      <c r="AY20" s="6" t="n"/>
      <c r="AZ20" s="6" t="n"/>
      <c r="BA20" s="2" t="n"/>
      <c r="BB20" s="2" t="n"/>
      <c r="BC20" s="2" t="n"/>
      <c r="BD20" s="2" t="n"/>
      <c r="BE20" s="4" t="n"/>
      <c r="BF20" s="1" t="n"/>
      <c r="BG20" s="2" t="n"/>
      <c r="BH20" s="2" t="n"/>
      <c r="BI20" s="2" t="n"/>
      <c r="BJ20" s="2" t="n"/>
      <c r="BK20" s="7" t="n"/>
      <c r="BL20" s="7" t="n"/>
      <c r="BM20" s="7" t="n"/>
      <c r="BN20" s="7" t="n"/>
      <c r="BO20" s="7" t="n"/>
      <c r="BP20" s="2" t="n"/>
      <c r="BQ20" s="2" t="n"/>
      <c r="BR20" s="2" t="n"/>
      <c r="BS20" s="2" t="n"/>
      <c r="BT20" s="4" t="n"/>
      <c r="BU20" s="38" t="n"/>
      <c r="BV20" s="39" t="n"/>
    </row>
    <row r="21" ht="23.1" customHeight="1" s="240">
      <c r="B21" s="150" t="n">
        <v>2.4</v>
      </c>
      <c r="C21" s="151" t="n"/>
      <c r="D21" s="152" t="n"/>
      <c r="E21" s="153" t="n"/>
      <c r="F21" s="154" t="n"/>
      <c r="G21" s="155">
        <f>E21-F21</f>
        <v/>
      </c>
      <c r="H21" s="156" t="n"/>
      <c r="I21" s="157" t="n"/>
      <c r="J21" s="158" t="n"/>
      <c r="K21" s="159">
        <f>J21-I21+1</f>
        <v/>
      </c>
      <c r="L21" s="160">
        <f>IFERROR(F21/E21,"")</f>
        <v/>
      </c>
      <c r="M21" s="1" t="n"/>
      <c r="N21" s="2" t="n"/>
      <c r="O21" s="2" t="n"/>
      <c r="P21" s="2" t="n"/>
      <c r="Q21" s="2" t="n"/>
      <c r="R21" s="3" t="n"/>
      <c r="S21" s="3" t="n"/>
      <c r="T21" s="3" t="n"/>
      <c r="U21" s="3" t="n"/>
      <c r="V21" s="3" t="n"/>
      <c r="W21" s="2" t="n"/>
      <c r="X21" s="2" t="n"/>
      <c r="Y21" s="2" t="n"/>
      <c r="Z21" s="2" t="n"/>
      <c r="AA21" s="4" t="n"/>
      <c r="AB21" s="1" t="n"/>
      <c r="AC21" s="2" t="n"/>
      <c r="AD21" s="2" t="n"/>
      <c r="AE21" s="2" t="n"/>
      <c r="AF21" s="2" t="n"/>
      <c r="AG21" s="5" t="n"/>
      <c r="AH21" s="5" t="n"/>
      <c r="AI21" s="5" t="n"/>
      <c r="AJ21" s="5" t="n"/>
      <c r="AK21" s="5" t="n"/>
      <c r="AL21" s="2" t="n"/>
      <c r="AM21" s="2" t="n"/>
      <c r="AN21" s="2" t="n"/>
      <c r="AO21" s="2" t="n"/>
      <c r="AP21" s="4" t="n"/>
      <c r="AQ21" s="1" t="n"/>
      <c r="AR21" s="2" t="n"/>
      <c r="AS21" s="2" t="n"/>
      <c r="AT21" s="2" t="n"/>
      <c r="AU21" s="2" t="n"/>
      <c r="AV21" s="6" t="n"/>
      <c r="AW21" s="6" t="n"/>
      <c r="AX21" s="6" t="n"/>
      <c r="AY21" s="6" t="n"/>
      <c r="AZ21" s="6" t="n"/>
      <c r="BA21" s="2" t="n"/>
      <c r="BB21" s="2" t="n"/>
      <c r="BC21" s="2" t="n"/>
      <c r="BD21" s="2" t="n"/>
      <c r="BE21" s="4" t="n"/>
      <c r="BF21" s="1" t="n"/>
      <c r="BG21" s="2" t="n"/>
      <c r="BH21" s="2" t="n"/>
      <c r="BI21" s="2" t="n"/>
      <c r="BJ21" s="2" t="n"/>
      <c r="BK21" s="7" t="n"/>
      <c r="BL21" s="7" t="n"/>
      <c r="BM21" s="7" t="n"/>
      <c r="BN21" s="7" t="n"/>
      <c r="BO21" s="7" t="n"/>
      <c r="BP21" s="2" t="n"/>
      <c r="BQ21" s="2" t="n"/>
      <c r="BR21" s="2" t="n"/>
      <c r="BS21" s="2" t="n"/>
      <c r="BT21" s="4" t="n"/>
      <c r="BU21" s="38" t="n"/>
      <c r="BV21" s="39" t="n"/>
    </row>
    <row r="22" ht="23.1" customHeight="1" s="240">
      <c r="B22" s="150" t="n">
        <v>3</v>
      </c>
      <c r="C22" s="185" t="n"/>
      <c r="D22" s="186" t="n"/>
      <c r="E22" s="142">
        <f>SUM(E23:E28)</f>
        <v/>
      </c>
      <c r="F22" s="143">
        <f>SUM(F23:F28)</f>
        <v/>
      </c>
      <c r="G22" s="144">
        <f>SUM(G23:G28)</f>
        <v/>
      </c>
      <c r="H22" s="164" t="n"/>
      <c r="I22" s="165" t="n"/>
      <c r="J22" s="166" t="n"/>
      <c r="K22" s="167" t="n"/>
      <c r="L22" s="149">
        <f>IFERROR(F22/E22,"")</f>
        <v/>
      </c>
      <c r="M22" s="16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 t="n"/>
      <c r="AB22" s="16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8" t="n"/>
      <c r="AQ22" s="16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8" t="n"/>
      <c r="BF22" s="16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8" t="n"/>
      <c r="BU22" s="38" t="n"/>
      <c r="BV22" s="39" t="n"/>
    </row>
    <row r="23" ht="23.1" customHeight="1" s="240">
      <c r="B23" s="150" t="n">
        <v>3.1</v>
      </c>
      <c r="C23" s="151" t="n"/>
      <c r="D23" s="152" t="n"/>
      <c r="E23" s="153" t="n"/>
      <c r="F23" s="154" t="n"/>
      <c r="G23" s="155">
        <f>E23-F23</f>
        <v/>
      </c>
      <c r="H23" s="156" t="n"/>
      <c r="I23" s="157" t="n"/>
      <c r="J23" s="158" t="n"/>
      <c r="K23" s="159">
        <f>J23-I23+1</f>
        <v/>
      </c>
      <c r="L23" s="160">
        <f>IFERROR(F23/E23,"")</f>
        <v/>
      </c>
      <c r="M23" s="1" t="n"/>
      <c r="N23" s="2" t="n"/>
      <c r="O23" s="2" t="n"/>
      <c r="P23" s="2" t="n"/>
      <c r="Q23" s="2" t="n"/>
      <c r="R23" s="3" t="n"/>
      <c r="S23" s="3" t="n"/>
      <c r="T23" s="3" t="n"/>
      <c r="U23" s="3" t="n"/>
      <c r="V23" s="3" t="n"/>
      <c r="W23" s="2" t="n"/>
      <c r="X23" s="2" t="n"/>
      <c r="Y23" s="2" t="n"/>
      <c r="Z23" s="2" t="n"/>
      <c r="AA23" s="4" t="n"/>
      <c r="AB23" s="1" t="n"/>
      <c r="AC23" s="2" t="n"/>
      <c r="AD23" s="2" t="n"/>
      <c r="AE23" s="2" t="n"/>
      <c r="AF23" s="2" t="n"/>
      <c r="AG23" s="5" t="n"/>
      <c r="AH23" s="5" t="n"/>
      <c r="AI23" s="5" t="n"/>
      <c r="AJ23" s="5" t="n"/>
      <c r="AK23" s="5" t="n"/>
      <c r="AL23" s="2" t="n"/>
      <c r="AM23" s="2" t="n"/>
      <c r="AN23" s="2" t="n"/>
      <c r="AO23" s="2" t="n"/>
      <c r="AP23" s="4" t="n"/>
      <c r="AQ23" s="29" t="n"/>
      <c r="AR23" s="2" t="n"/>
      <c r="AS23" s="2" t="n"/>
      <c r="AT23" s="2" t="n"/>
      <c r="AU23" s="2" t="n"/>
      <c r="AV23" s="6" t="n"/>
      <c r="AW23" s="6" t="n"/>
      <c r="AX23" s="6" t="n"/>
      <c r="AY23" s="6" t="n"/>
      <c r="AZ23" s="6" t="n"/>
      <c r="BA23" s="2" t="n"/>
      <c r="BB23" s="2" t="n"/>
      <c r="BC23" s="2" t="n"/>
      <c r="BD23" s="2" t="n"/>
      <c r="BE23" s="4" t="n"/>
      <c r="BF23" s="1" t="n"/>
      <c r="BG23" s="2" t="n"/>
      <c r="BH23" s="2" t="n"/>
      <c r="BI23" s="2" t="n"/>
      <c r="BJ23" s="2" t="n"/>
      <c r="BK23" s="7" t="n"/>
      <c r="BL23" s="7" t="n"/>
      <c r="BM23" s="7" t="n"/>
      <c r="BN23" s="7" t="n"/>
      <c r="BO23" s="7" t="n"/>
      <c r="BP23" s="2" t="n"/>
      <c r="BQ23" s="2" t="n"/>
      <c r="BR23" s="2" t="n"/>
      <c r="BS23" s="2" t="n"/>
      <c r="BT23" s="4" t="n"/>
      <c r="BU23" s="38" t="n"/>
      <c r="BV23" s="39" t="n"/>
    </row>
    <row r="24" ht="23.1" customHeight="1" s="240">
      <c r="B24" s="150" t="n">
        <v>3.2</v>
      </c>
      <c r="C24" s="151" t="n"/>
      <c r="D24" s="152" t="n"/>
      <c r="E24" s="153" t="n"/>
      <c r="F24" s="154" t="n"/>
      <c r="G24" s="155">
        <f>E24-F24</f>
        <v/>
      </c>
      <c r="H24" s="156" t="n"/>
      <c r="I24" s="157" t="n"/>
      <c r="J24" s="158" t="n"/>
      <c r="K24" s="159">
        <f>J24-I24+1</f>
        <v/>
      </c>
      <c r="L24" s="160">
        <f>IFERROR(F24/E24,"")</f>
        <v/>
      </c>
      <c r="M24" s="1" t="n"/>
      <c r="N24" s="2" t="n"/>
      <c r="O24" s="2" t="n"/>
      <c r="P24" s="2" t="n"/>
      <c r="Q24" s="2" t="n"/>
      <c r="R24" s="3" t="n"/>
      <c r="S24" s="3" t="n"/>
      <c r="T24" s="3" t="n"/>
      <c r="U24" s="3" t="n"/>
      <c r="V24" s="3" t="n"/>
      <c r="W24" s="2" t="n"/>
      <c r="X24" s="2" t="n"/>
      <c r="Y24" s="2" t="n"/>
      <c r="Z24" s="2" t="n"/>
      <c r="AA24" s="4" t="n"/>
      <c r="AB24" s="1" t="n"/>
      <c r="AC24" s="2" t="n"/>
      <c r="AD24" s="2" t="n"/>
      <c r="AE24" s="2" t="n"/>
      <c r="AF24" s="2" t="n"/>
      <c r="AG24" s="5" t="n"/>
      <c r="AH24" s="5" t="n"/>
      <c r="AI24" s="5" t="n"/>
      <c r="AJ24" s="5" t="n"/>
      <c r="AK24" s="5" t="n"/>
      <c r="AL24" s="2" t="n"/>
      <c r="AM24" s="2" t="n"/>
      <c r="AN24" s="2" t="n"/>
      <c r="AO24" s="2" t="n"/>
      <c r="AP24" s="4" t="n"/>
      <c r="AQ24" s="1" t="n"/>
      <c r="AR24" s="2" t="n"/>
      <c r="AS24" s="2" t="n"/>
      <c r="AT24" s="2" t="n"/>
      <c r="AU24" s="2" t="n"/>
      <c r="AV24" s="6" t="n"/>
      <c r="AW24" s="6" t="n"/>
      <c r="AX24" s="6" t="n"/>
      <c r="AY24" s="6" t="n"/>
      <c r="AZ24" s="6" t="n"/>
      <c r="BA24" s="2" t="n"/>
      <c r="BB24" s="2" t="n"/>
      <c r="BC24" s="2" t="n"/>
      <c r="BD24" s="2" t="n"/>
      <c r="BE24" s="4" t="n"/>
      <c r="BF24" s="1" t="n"/>
      <c r="BG24" s="2" t="n"/>
      <c r="BH24" s="2" t="n"/>
      <c r="BI24" s="2" t="n"/>
      <c r="BJ24" s="2" t="n"/>
      <c r="BK24" s="7" t="n"/>
      <c r="BL24" s="7" t="n"/>
      <c r="BM24" s="7" t="n"/>
      <c r="BN24" s="7" t="n"/>
      <c r="BO24" s="7" t="n"/>
      <c r="BP24" s="2" t="n"/>
      <c r="BQ24" s="2" t="n"/>
      <c r="BR24" s="2" t="n"/>
      <c r="BS24" s="2" t="n"/>
      <c r="BT24" s="4" t="n"/>
      <c r="BU24" s="38" t="n"/>
      <c r="BV24" s="39" t="n"/>
    </row>
    <row r="25" ht="23.1" customHeight="1" s="240">
      <c r="B25" s="150" t="inlineStr">
        <is>
          <t>3.2.1</t>
        </is>
      </c>
      <c r="C25" s="161" t="n"/>
      <c r="D25" s="162" t="n"/>
      <c r="E25" s="153" t="n"/>
      <c r="F25" s="154" t="n"/>
      <c r="G25" s="155">
        <f>E25-F25</f>
        <v/>
      </c>
      <c r="H25" s="163" t="n"/>
      <c r="I25" s="157" t="n"/>
      <c r="J25" s="158" t="n"/>
      <c r="K25" s="159">
        <f>J25-I25+1</f>
        <v/>
      </c>
      <c r="L25" s="160">
        <f>IFERROR(F25/E25,"")</f>
        <v/>
      </c>
      <c r="M25" s="1" t="n"/>
      <c r="N25" s="2" t="n"/>
      <c r="O25" s="2" t="n"/>
      <c r="P25" s="2" t="n"/>
      <c r="Q25" s="2" t="n"/>
      <c r="R25" s="3" t="n"/>
      <c r="S25" s="3" t="n"/>
      <c r="T25" s="3" t="n"/>
      <c r="U25" s="3" t="n"/>
      <c r="V25" s="3" t="n"/>
      <c r="W25" s="2" t="n"/>
      <c r="X25" s="2" t="n"/>
      <c r="Y25" s="2" t="n"/>
      <c r="Z25" s="2" t="n"/>
      <c r="AA25" s="4" t="n"/>
      <c r="AB25" s="1" t="n"/>
      <c r="AC25" s="2" t="n"/>
      <c r="AD25" s="2" t="n"/>
      <c r="AE25" s="2" t="n"/>
      <c r="AF25" s="2" t="n"/>
      <c r="AG25" s="5" t="n"/>
      <c r="AH25" s="5" t="n"/>
      <c r="AI25" s="5" t="n"/>
      <c r="AJ25" s="5" t="n"/>
      <c r="AK25" s="5" t="n"/>
      <c r="AL25" s="2" t="n"/>
      <c r="AM25" s="2" t="n"/>
      <c r="AN25" s="2" t="n"/>
      <c r="AO25" s="2" t="n"/>
      <c r="AP25" s="4" t="n"/>
      <c r="AQ25" s="1" t="n"/>
      <c r="AR25" s="2" t="n"/>
      <c r="AS25" s="2" t="n"/>
      <c r="AT25" s="2" t="n"/>
      <c r="AU25" s="2" t="n"/>
      <c r="AV25" s="6" t="n"/>
      <c r="AW25" s="6" t="n"/>
      <c r="AX25" s="6" t="n"/>
      <c r="AY25" s="6" t="n"/>
      <c r="AZ25" s="6" t="n"/>
      <c r="BA25" s="2" t="n"/>
      <c r="BB25" s="2" t="n"/>
      <c r="BC25" s="2" t="n"/>
      <c r="BD25" s="2" t="n"/>
      <c r="BE25" s="4" t="n"/>
      <c r="BF25" s="1" t="n"/>
      <c r="BG25" s="2" t="n"/>
      <c r="BH25" s="2" t="n"/>
      <c r="BI25" s="2" t="n"/>
      <c r="BJ25" s="2" t="n"/>
      <c r="BK25" s="7" t="n"/>
      <c r="BL25" s="7" t="n"/>
      <c r="BM25" s="7" t="n"/>
      <c r="BN25" s="7" t="n"/>
      <c r="BO25" s="7" t="n"/>
      <c r="BP25" s="2" t="n"/>
      <c r="BQ25" s="2" t="n"/>
      <c r="BR25" s="2" t="n"/>
      <c r="BS25" s="2" t="n"/>
      <c r="BT25" s="4" t="n"/>
      <c r="BU25" s="38" t="n"/>
      <c r="BV25" s="39" t="n"/>
    </row>
    <row r="26" ht="23.1" customHeight="1" s="240">
      <c r="B26" s="150" t="inlineStr">
        <is>
          <t>3.2.2</t>
        </is>
      </c>
      <c r="C26" s="161" t="n"/>
      <c r="D26" s="162" t="n"/>
      <c r="E26" s="153" t="n"/>
      <c r="F26" s="154" t="n"/>
      <c r="G26" s="155">
        <f>E26-F26</f>
        <v/>
      </c>
      <c r="H26" s="163" t="n"/>
      <c r="I26" s="157" t="n"/>
      <c r="J26" s="158" t="n"/>
      <c r="K26" s="159">
        <f>J26-I26+1</f>
        <v/>
      </c>
      <c r="L26" s="160">
        <f>IFERROR(F26/E26,"")</f>
        <v/>
      </c>
      <c r="M26" s="1" t="n"/>
      <c r="N26" s="2" t="n"/>
      <c r="O26" s="2" t="n"/>
      <c r="P26" s="2" t="n"/>
      <c r="Q26" s="2" t="n"/>
      <c r="R26" s="3" t="n"/>
      <c r="S26" s="3" t="n"/>
      <c r="T26" s="3" t="n"/>
      <c r="U26" s="3" t="n"/>
      <c r="V26" s="3" t="n"/>
      <c r="W26" s="2" t="n"/>
      <c r="X26" s="2" t="n"/>
      <c r="Y26" s="2" t="n"/>
      <c r="Z26" s="2" t="n"/>
      <c r="AA26" s="4" t="n"/>
      <c r="AB26" s="1" t="n"/>
      <c r="AC26" s="2" t="n"/>
      <c r="AD26" s="2" t="n"/>
      <c r="AE26" s="2" t="n"/>
      <c r="AF26" s="2" t="n"/>
      <c r="AG26" s="5" t="n"/>
      <c r="AH26" s="5" t="n"/>
      <c r="AI26" s="5" t="n"/>
      <c r="AJ26" s="5" t="n"/>
      <c r="AK26" s="5" t="n"/>
      <c r="AL26" s="2" t="n"/>
      <c r="AM26" s="2" t="n"/>
      <c r="AN26" s="2" t="n"/>
      <c r="AO26" s="2" t="n"/>
      <c r="AP26" s="4" t="n"/>
      <c r="AQ26" s="1" t="n"/>
      <c r="AR26" s="2" t="n"/>
      <c r="AS26" s="2" t="n"/>
      <c r="AT26" s="2" t="n"/>
      <c r="AU26" s="2" t="n"/>
      <c r="AV26" s="6" t="n"/>
      <c r="AW26" s="6" t="n"/>
      <c r="AX26" s="6" t="n"/>
      <c r="AY26" s="6" t="n"/>
      <c r="AZ26" s="6" t="n"/>
      <c r="BA26" s="2" t="n"/>
      <c r="BB26" s="2" t="n"/>
      <c r="BC26" s="2" t="n"/>
      <c r="BD26" s="2" t="n"/>
      <c r="BE26" s="4" t="n"/>
      <c r="BF26" s="1" t="n"/>
      <c r="BG26" s="2" t="n"/>
      <c r="BH26" s="2" t="n"/>
      <c r="BI26" s="2" t="n"/>
      <c r="BJ26" s="2" t="n"/>
      <c r="BK26" s="7" t="n"/>
      <c r="BL26" s="7" t="n"/>
      <c r="BM26" s="7" t="n"/>
      <c r="BN26" s="7" t="n"/>
      <c r="BO26" s="7" t="n"/>
      <c r="BP26" s="2" t="n"/>
      <c r="BQ26" s="2" t="n"/>
      <c r="BR26" s="2" t="n"/>
      <c r="BS26" s="2" t="n"/>
      <c r="BT26" s="4" t="n"/>
      <c r="BU26" s="38" t="n"/>
      <c r="BV26" s="39" t="n"/>
    </row>
    <row r="27" ht="23.1" customHeight="1" s="240">
      <c r="B27" s="150" t="n">
        <v>3.3</v>
      </c>
      <c r="C27" s="151" t="n"/>
      <c r="D27" s="152" t="n"/>
      <c r="E27" s="153" t="n"/>
      <c r="F27" s="154" t="n"/>
      <c r="G27" s="155">
        <f>E27-F27</f>
        <v/>
      </c>
      <c r="H27" s="156" t="n"/>
      <c r="I27" s="157" t="n"/>
      <c r="J27" s="158" t="n"/>
      <c r="K27" s="159">
        <f>J27-I27+1</f>
        <v/>
      </c>
      <c r="L27" s="160">
        <f>IFERROR(F27/E27,"")</f>
        <v/>
      </c>
      <c r="M27" s="1" t="n"/>
      <c r="N27" s="2" t="n"/>
      <c r="O27" s="2" t="n"/>
      <c r="P27" s="2" t="n"/>
      <c r="Q27" s="2" t="n"/>
      <c r="R27" s="3" t="n"/>
      <c r="S27" s="3" t="n"/>
      <c r="T27" s="3" t="n"/>
      <c r="U27" s="3" t="n"/>
      <c r="V27" s="3" t="n"/>
      <c r="W27" s="2" t="n"/>
      <c r="X27" s="2" t="n"/>
      <c r="Y27" s="2" t="n"/>
      <c r="Z27" s="2" t="n"/>
      <c r="AA27" s="4" t="n"/>
      <c r="AB27" s="1" t="n"/>
      <c r="AC27" s="2" t="n"/>
      <c r="AD27" s="2" t="n"/>
      <c r="AE27" s="2" t="n"/>
      <c r="AF27" s="2" t="n"/>
      <c r="AG27" s="5" t="n"/>
      <c r="AH27" s="5" t="n"/>
      <c r="AI27" s="5" t="n"/>
      <c r="AJ27" s="5" t="n"/>
      <c r="AK27" s="5" t="n"/>
      <c r="AL27" s="2" t="n"/>
      <c r="AM27" s="2" t="n"/>
      <c r="AN27" s="2" t="n"/>
      <c r="AO27" s="2" t="n"/>
      <c r="AP27" s="4" t="n"/>
      <c r="AQ27" s="1" t="n"/>
      <c r="AR27" s="2" t="n"/>
      <c r="AS27" s="2" t="n"/>
      <c r="AT27" s="2" t="n"/>
      <c r="AU27" s="2" t="n"/>
      <c r="AV27" s="6" t="n"/>
      <c r="AW27" s="6" t="n"/>
      <c r="AX27" s="6" t="n"/>
      <c r="AY27" s="6" t="n"/>
      <c r="AZ27" s="6" t="n"/>
      <c r="BA27" s="2" t="n"/>
      <c r="BB27" s="2" t="n"/>
      <c r="BC27" s="2" t="n"/>
      <c r="BD27" s="2" t="n"/>
      <c r="BE27" s="4" t="n"/>
      <c r="BF27" s="1" t="n"/>
      <c r="BG27" s="2" t="n"/>
      <c r="BH27" s="2" t="n"/>
      <c r="BI27" s="2" t="n"/>
      <c r="BJ27" s="2" t="n"/>
      <c r="BK27" s="7" t="n"/>
      <c r="BL27" s="7" t="n"/>
      <c r="BM27" s="7" t="n"/>
      <c r="BN27" s="7" t="n"/>
      <c r="BO27" s="7" t="n"/>
      <c r="BP27" s="2" t="n"/>
      <c r="BQ27" s="2" t="n"/>
      <c r="BR27" s="2" t="n"/>
      <c r="BS27" s="2" t="n"/>
      <c r="BT27" s="4" t="n"/>
      <c r="BU27" s="38" t="n"/>
      <c r="BV27" s="39" t="n"/>
    </row>
    <row r="28" ht="23.1" customHeight="1" s="240">
      <c r="B28" s="150" t="inlineStr">
        <is>
          <t>3.3.1</t>
        </is>
      </c>
      <c r="C28" s="161" t="n"/>
      <c r="D28" s="162" t="n"/>
      <c r="E28" s="153" t="n"/>
      <c r="F28" s="154" t="n"/>
      <c r="G28" s="155">
        <f>E28-F28</f>
        <v/>
      </c>
      <c r="H28" s="163" t="n"/>
      <c r="I28" s="157" t="n"/>
      <c r="J28" s="158" t="n"/>
      <c r="K28" s="159">
        <f>J28-I28+1</f>
        <v/>
      </c>
      <c r="L28" s="160">
        <f>IFERROR(F28/E28,"")</f>
        <v/>
      </c>
      <c r="M28" s="1" t="n"/>
      <c r="N28" s="2" t="n"/>
      <c r="O28" s="2" t="n"/>
      <c r="P28" s="2" t="n"/>
      <c r="Q28" s="2" t="n"/>
      <c r="R28" s="3" t="n"/>
      <c r="S28" s="3" t="n"/>
      <c r="T28" s="3" t="n"/>
      <c r="U28" s="3" t="n"/>
      <c r="V28" s="3" t="n"/>
      <c r="W28" s="2" t="n"/>
      <c r="X28" s="2" t="n"/>
      <c r="Y28" s="2" t="n"/>
      <c r="Z28" s="2" t="n"/>
      <c r="AA28" s="4" t="n"/>
      <c r="AB28" s="1" t="n"/>
      <c r="AC28" s="2" t="n"/>
      <c r="AD28" s="2" t="n"/>
      <c r="AE28" s="2" t="n"/>
      <c r="AF28" s="2" t="n"/>
      <c r="AG28" s="5" t="n"/>
      <c r="AH28" s="5" t="n"/>
      <c r="AI28" s="5" t="n"/>
      <c r="AJ28" s="5" t="n"/>
      <c r="AK28" s="5" t="n"/>
      <c r="AL28" s="2" t="n"/>
      <c r="AM28" s="2" t="n"/>
      <c r="AN28" s="2" t="n"/>
      <c r="AO28" s="2" t="n"/>
      <c r="AP28" s="4" t="n"/>
      <c r="AQ28" s="1" t="n"/>
      <c r="AR28" s="2" t="n"/>
      <c r="AS28" s="2" t="n"/>
      <c r="AT28" s="2" t="n"/>
      <c r="AU28" s="2" t="n"/>
      <c r="AV28" s="6" t="n"/>
      <c r="AW28" s="6" t="n"/>
      <c r="AX28" s="6" t="n"/>
      <c r="AY28" s="6" t="n"/>
      <c r="AZ28" s="6" t="n"/>
      <c r="BA28" s="2" t="n"/>
      <c r="BB28" s="2" t="n"/>
      <c r="BC28" s="2" t="n"/>
      <c r="BD28" s="2" t="n"/>
      <c r="BE28" s="4" t="n"/>
      <c r="BF28" s="1" t="n"/>
      <c r="BG28" s="2" t="n"/>
      <c r="BH28" s="2" t="n"/>
      <c r="BI28" s="2" t="n"/>
      <c r="BJ28" s="2" t="n"/>
      <c r="BK28" s="7" t="n"/>
      <c r="BL28" s="7" t="n"/>
      <c r="BM28" s="7" t="n"/>
      <c r="BN28" s="7" t="n"/>
      <c r="BO28" s="7" t="n"/>
      <c r="BP28" s="2" t="n"/>
      <c r="BQ28" s="2" t="n"/>
      <c r="BR28" s="2" t="n"/>
      <c r="BS28" s="2" t="n"/>
      <c r="BT28" s="4" t="n"/>
      <c r="BU28" s="38" t="n"/>
      <c r="BV28" s="39" t="n"/>
    </row>
    <row r="29" ht="23.1" customHeight="1" s="240">
      <c r="B29" s="150" t="n">
        <v>4</v>
      </c>
      <c r="C29" s="185" t="n"/>
      <c r="D29" s="186" t="n"/>
      <c r="E29" s="142">
        <f>SUM(E30:E33)</f>
        <v/>
      </c>
      <c r="F29" s="143">
        <f>SUM(F30:F33)</f>
        <v/>
      </c>
      <c r="G29" s="144">
        <f>SUM(G30:G33)</f>
        <v/>
      </c>
      <c r="H29" s="164" t="n"/>
      <c r="I29" s="165" t="n"/>
      <c r="J29" s="166" t="n"/>
      <c r="K29" s="167" t="n"/>
      <c r="L29" s="149">
        <f>IFERROR(F29/E29,"")</f>
        <v/>
      </c>
      <c r="M29" s="16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8" t="n"/>
      <c r="AB29" s="16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8" t="n"/>
      <c r="AQ29" s="16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8" t="n"/>
      <c r="BF29" s="16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8" t="n"/>
      <c r="BU29" s="38" t="n"/>
      <c r="BV29" s="39" t="n"/>
    </row>
    <row r="30" ht="23.1" customHeight="1" s="240">
      <c r="B30" s="150" t="n">
        <v>4.1</v>
      </c>
      <c r="C30" s="151" t="n"/>
      <c r="D30" s="152" t="n"/>
      <c r="E30" s="153" t="n"/>
      <c r="F30" s="154" t="n"/>
      <c r="G30" s="155">
        <f>E30-F30</f>
        <v/>
      </c>
      <c r="H30" s="156" t="n"/>
      <c r="I30" s="157" t="n"/>
      <c r="J30" s="158" t="n"/>
      <c r="K30" s="159">
        <f>J30-I30+1</f>
        <v/>
      </c>
      <c r="L30" s="160">
        <f>IFERROR(F30/E30,"")</f>
        <v/>
      </c>
      <c r="M30" s="1" t="n"/>
      <c r="N30" s="2" t="n"/>
      <c r="O30" s="2" t="n"/>
      <c r="P30" s="2" t="n"/>
      <c r="Q30" s="2" t="n"/>
      <c r="R30" s="3" t="n"/>
      <c r="S30" s="3" t="n"/>
      <c r="T30" s="3" t="n"/>
      <c r="U30" s="3" t="n"/>
      <c r="V30" s="3" t="n"/>
      <c r="W30" s="2" t="n"/>
      <c r="X30" s="2" t="n"/>
      <c r="Y30" s="2" t="n"/>
      <c r="Z30" s="2" t="n"/>
      <c r="AA30" s="4" t="n"/>
      <c r="AB30" s="1" t="n"/>
      <c r="AC30" s="2" t="n"/>
      <c r="AD30" s="2" t="n"/>
      <c r="AE30" s="2" t="n"/>
      <c r="AF30" s="2" t="n"/>
      <c r="AG30" s="5" t="n"/>
      <c r="AH30" s="5" t="n"/>
      <c r="AI30" s="5" t="n"/>
      <c r="AJ30" s="5" t="n"/>
      <c r="AK30" s="5" t="n"/>
      <c r="AL30" s="2" t="n"/>
      <c r="AM30" s="2" t="n"/>
      <c r="AN30" s="2" t="n"/>
      <c r="AO30" s="2" t="n"/>
      <c r="AP30" s="4" t="n"/>
      <c r="AQ30" s="1" t="n"/>
      <c r="AR30" s="2" t="n"/>
      <c r="AS30" s="2" t="n"/>
      <c r="AT30" s="2" t="n"/>
      <c r="AU30" s="2" t="n"/>
      <c r="AV30" s="6" t="n"/>
      <c r="AW30" s="6" t="n"/>
      <c r="AX30" s="6" t="n"/>
      <c r="AY30" s="6" t="n"/>
      <c r="AZ30" s="6" t="n"/>
      <c r="BA30" s="2" t="n"/>
      <c r="BB30" s="2" t="n"/>
      <c r="BC30" s="2" t="n"/>
      <c r="BD30" s="2" t="n"/>
      <c r="BE30" s="4" t="n"/>
      <c r="BF30" s="30" t="n"/>
      <c r="BG30" s="2" t="n"/>
      <c r="BH30" s="2" t="n"/>
      <c r="BI30" s="2" t="n"/>
      <c r="BJ30" s="2" t="n"/>
      <c r="BK30" s="7" t="n"/>
      <c r="BL30" s="7" t="n"/>
      <c r="BM30" s="7" t="n"/>
      <c r="BN30" s="7" t="n"/>
      <c r="BO30" s="7" t="n"/>
      <c r="BP30" s="2" t="n"/>
      <c r="BQ30" s="2" t="n"/>
      <c r="BR30" s="2" t="n"/>
      <c r="BS30" s="2" t="n"/>
      <c r="BT30" s="4" t="n"/>
      <c r="BU30" s="38" t="n"/>
      <c r="BV30" s="39" t="n"/>
    </row>
    <row r="31" ht="23.1" customHeight="1" s="240">
      <c r="B31" s="150" t="n">
        <v>4.2</v>
      </c>
      <c r="C31" s="151" t="n"/>
      <c r="D31" s="152" t="n"/>
      <c r="E31" s="153" t="n"/>
      <c r="F31" s="154" t="n"/>
      <c r="G31" s="155">
        <f>E31-F31</f>
        <v/>
      </c>
      <c r="H31" s="156" t="n"/>
      <c r="I31" s="157" t="n"/>
      <c r="J31" s="158" t="n"/>
      <c r="K31" s="159">
        <f>J31-I31+1</f>
        <v/>
      </c>
      <c r="L31" s="160">
        <f>IFERROR(F31/E31,"")</f>
        <v/>
      </c>
      <c r="M31" s="1" t="n"/>
      <c r="N31" s="2" t="n"/>
      <c r="O31" s="2" t="n"/>
      <c r="P31" s="2" t="n"/>
      <c r="Q31" s="2" t="n"/>
      <c r="R31" s="3" t="n"/>
      <c r="S31" s="3" t="n"/>
      <c r="T31" s="3" t="n"/>
      <c r="U31" s="3" t="n"/>
      <c r="V31" s="3" t="n"/>
      <c r="W31" s="2" t="n"/>
      <c r="X31" s="2" t="n"/>
      <c r="Y31" s="2" t="n"/>
      <c r="Z31" s="2" t="n"/>
      <c r="AA31" s="4" t="n"/>
      <c r="AB31" s="1" t="n"/>
      <c r="AC31" s="2" t="n"/>
      <c r="AD31" s="2" t="n"/>
      <c r="AE31" s="2" t="n"/>
      <c r="AF31" s="2" t="n"/>
      <c r="AG31" s="5" t="n"/>
      <c r="AH31" s="5" t="n"/>
      <c r="AI31" s="5" t="n"/>
      <c r="AJ31" s="5" t="n"/>
      <c r="AK31" s="5" t="n"/>
      <c r="AL31" s="2" t="n"/>
      <c r="AM31" s="2" t="n"/>
      <c r="AN31" s="2" t="n"/>
      <c r="AO31" s="2" t="n"/>
      <c r="AP31" s="4" t="n"/>
      <c r="AQ31" s="1" t="n"/>
      <c r="AR31" s="2" t="n"/>
      <c r="AS31" s="2" t="n"/>
      <c r="AT31" s="2" t="n"/>
      <c r="AU31" s="2" t="n"/>
      <c r="AV31" s="6" t="n"/>
      <c r="AW31" s="6" t="n"/>
      <c r="AX31" s="6" t="n"/>
      <c r="AY31" s="6" t="n"/>
      <c r="AZ31" s="6" t="n"/>
      <c r="BA31" s="2" t="n"/>
      <c r="BB31" s="2" t="n"/>
      <c r="BC31" s="2" t="n"/>
      <c r="BD31" s="2" t="n"/>
      <c r="BE31" s="4" t="n"/>
      <c r="BF31" s="1" t="n"/>
      <c r="BG31" s="2" t="n"/>
      <c r="BH31" s="2" t="n"/>
      <c r="BI31" s="2" t="n"/>
      <c r="BJ31" s="2" t="n"/>
      <c r="BK31" s="7" t="n"/>
      <c r="BL31" s="7" t="n"/>
      <c r="BM31" s="7" t="n"/>
      <c r="BN31" s="7" t="n"/>
      <c r="BO31" s="7" t="n"/>
      <c r="BP31" s="2" t="n"/>
      <c r="BQ31" s="2" t="n"/>
      <c r="BR31" s="2" t="n"/>
      <c r="BS31" s="2" t="n"/>
      <c r="BT31" s="4" t="n"/>
      <c r="BU31" s="38" t="n"/>
      <c r="BV31" s="39" t="n"/>
    </row>
    <row r="32" ht="23.1" customHeight="1" s="240">
      <c r="B32" s="150" t="n">
        <v>4.3</v>
      </c>
      <c r="C32" s="151" t="n"/>
      <c r="D32" s="168" t="n"/>
      <c r="E32" s="153" t="n"/>
      <c r="F32" s="154" t="n"/>
      <c r="G32" s="155">
        <f>E32-F32</f>
        <v/>
      </c>
      <c r="H32" s="156" t="n"/>
      <c r="I32" s="157" t="n"/>
      <c r="J32" s="158" t="n"/>
      <c r="K32" s="159">
        <f>J32-I32+1</f>
        <v/>
      </c>
      <c r="L32" s="160">
        <f>IFERROR(F32/E32,"")</f>
        <v/>
      </c>
      <c r="M32" s="1" t="n"/>
      <c r="N32" s="2" t="n"/>
      <c r="O32" s="2" t="n"/>
      <c r="P32" s="2" t="n"/>
      <c r="Q32" s="2" t="n"/>
      <c r="R32" s="3" t="n"/>
      <c r="S32" s="3" t="n"/>
      <c r="T32" s="3" t="n"/>
      <c r="U32" s="3" t="n"/>
      <c r="V32" s="3" t="n"/>
      <c r="W32" s="2" t="n"/>
      <c r="X32" s="2" t="n"/>
      <c r="Y32" s="2" t="n"/>
      <c r="Z32" s="2" t="n"/>
      <c r="AA32" s="4" t="n"/>
      <c r="AB32" s="1" t="n"/>
      <c r="AC32" s="2" t="n"/>
      <c r="AD32" s="2" t="n"/>
      <c r="AE32" s="2" t="n"/>
      <c r="AF32" s="2" t="n"/>
      <c r="AG32" s="5" t="n"/>
      <c r="AH32" s="5" t="n"/>
      <c r="AI32" s="5" t="n"/>
      <c r="AJ32" s="5" t="n"/>
      <c r="AK32" s="5" t="n"/>
      <c r="AL32" s="2" t="n"/>
      <c r="AM32" s="2" t="n"/>
      <c r="AN32" s="2" t="n"/>
      <c r="AO32" s="2" t="n"/>
      <c r="AP32" s="4" t="n"/>
      <c r="AQ32" s="1" t="n"/>
      <c r="AR32" s="2" t="n"/>
      <c r="AS32" s="2" t="n"/>
      <c r="AT32" s="2" t="n"/>
      <c r="AU32" s="2" t="n"/>
      <c r="AV32" s="6" t="n"/>
      <c r="AW32" s="6" t="n"/>
      <c r="AX32" s="6" t="n"/>
      <c r="AY32" s="6" t="n"/>
      <c r="AZ32" s="6" t="n"/>
      <c r="BA32" s="2" t="n"/>
      <c r="BB32" s="2" t="n"/>
      <c r="BC32" s="2" t="n"/>
      <c r="BD32" s="2" t="n"/>
      <c r="BE32" s="4" t="n"/>
      <c r="BF32" s="1" t="n"/>
      <c r="BG32" s="2" t="n"/>
      <c r="BH32" s="2" t="n"/>
      <c r="BI32" s="2" t="n"/>
      <c r="BJ32" s="2" t="n"/>
      <c r="BK32" s="7" t="n"/>
      <c r="BL32" s="7" t="n"/>
      <c r="BM32" s="7" t="n"/>
      <c r="BN32" s="7" t="n"/>
      <c r="BO32" s="7" t="n"/>
      <c r="BP32" s="2" t="n"/>
      <c r="BQ32" s="2" t="n"/>
      <c r="BR32" s="2" t="n"/>
      <c r="BS32" s="2" t="n"/>
      <c r="BT32" s="4" t="n"/>
      <c r="BU32" s="38" t="n"/>
      <c r="BV32" s="39" t="n"/>
    </row>
    <row r="33" ht="23.1" customHeight="1" s="240" thickBot="1">
      <c r="B33" s="169" t="inlineStr">
        <is>
          <t>4.4</t>
        </is>
      </c>
      <c r="C33" s="170" t="n"/>
      <c r="D33" s="171" t="n"/>
      <c r="E33" s="172" t="n"/>
      <c r="F33" s="173" t="n"/>
      <c r="G33" s="174">
        <f>E33-F33</f>
        <v/>
      </c>
      <c r="H33" s="175" t="n"/>
      <c r="I33" s="176" t="n"/>
      <c r="J33" s="177" t="n"/>
      <c r="K33" s="178">
        <f>J33-I33+1</f>
        <v/>
      </c>
      <c r="L33" s="179">
        <f>IFERROR(F33/E33,"")</f>
        <v/>
      </c>
      <c r="M33" s="8" t="n"/>
      <c r="N33" s="9" t="n"/>
      <c r="O33" s="9" t="n"/>
      <c r="P33" s="9" t="n"/>
      <c r="Q33" s="9" t="n"/>
      <c r="R33" s="10" t="n"/>
      <c r="S33" s="10" t="n"/>
      <c r="T33" s="10" t="n"/>
      <c r="U33" s="10" t="n"/>
      <c r="V33" s="10" t="n"/>
      <c r="W33" s="9" t="n"/>
      <c r="X33" s="9" t="n"/>
      <c r="Y33" s="9" t="n"/>
      <c r="Z33" s="9" t="n"/>
      <c r="AA33" s="11" t="n"/>
      <c r="AB33" s="8" t="n"/>
      <c r="AC33" s="9" t="n"/>
      <c r="AD33" s="9" t="n"/>
      <c r="AE33" s="9" t="n"/>
      <c r="AF33" s="9" t="n"/>
      <c r="AG33" s="12" t="n"/>
      <c r="AH33" s="12" t="n"/>
      <c r="AI33" s="12" t="n"/>
      <c r="AJ33" s="12" t="n"/>
      <c r="AK33" s="12" t="n"/>
      <c r="AL33" s="9" t="n"/>
      <c r="AM33" s="9" t="n"/>
      <c r="AN33" s="9" t="n"/>
      <c r="AO33" s="9" t="n"/>
      <c r="AP33" s="11" t="n"/>
      <c r="AQ33" s="8" t="n"/>
      <c r="AR33" s="9" t="n"/>
      <c r="AS33" s="9" t="n"/>
      <c r="AT33" s="9" t="n"/>
      <c r="AU33" s="9" t="n"/>
      <c r="AV33" s="13" t="n"/>
      <c r="AW33" s="13" t="n"/>
      <c r="AX33" s="13" t="n"/>
      <c r="AY33" s="13" t="n"/>
      <c r="AZ33" s="13" t="n"/>
      <c r="BA33" s="9" t="n"/>
      <c r="BB33" s="9" t="n"/>
      <c r="BC33" s="9" t="n"/>
      <c r="BD33" s="9" t="n"/>
      <c r="BE33" s="11" t="n"/>
      <c r="BF33" s="8" t="n"/>
      <c r="BG33" s="9" t="n"/>
      <c r="BH33" s="9" t="n"/>
      <c r="BI33" s="9" t="n"/>
      <c r="BJ33" s="9" t="n"/>
      <c r="BK33" s="14" t="n"/>
      <c r="BL33" s="14" t="n"/>
      <c r="BM33" s="14" t="n"/>
      <c r="BN33" s="14" t="n"/>
      <c r="BO33" s="14" t="n"/>
      <c r="BP33" s="9" t="n"/>
      <c r="BQ33" s="9" t="n"/>
      <c r="BR33" s="9" t="n"/>
      <c r="BS33" s="9" t="n"/>
      <c r="BT33" s="11" t="n"/>
      <c r="BU33" s="38" t="n"/>
      <c r="BV33" s="39" t="n"/>
    </row>
    <row r="34" ht="23.1" customHeight="1" s="240">
      <c r="B34" s="38" t="n"/>
      <c r="C34" s="38" t="n"/>
      <c r="D34" s="38" t="n"/>
      <c r="E34" s="92" t="inlineStr">
        <is>
          <t>ESTIMAR</t>
        </is>
      </c>
      <c r="F34" s="92" t="inlineStr">
        <is>
          <t>COMPLETADO</t>
        </is>
      </c>
      <c r="G34" s="92" t="inlineStr">
        <is>
          <t>RESTANTE</t>
        </is>
      </c>
      <c r="H34" s="92" t="inlineStr">
        <is>
          <t>DÍAS</t>
        </is>
      </c>
      <c r="I34" s="92" t="inlineStr">
        <is>
          <t>EST/ DÍAS</t>
        </is>
      </c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8" t="n"/>
      <c r="BF34" s="38" t="n"/>
      <c r="BG34" s="38" t="n"/>
      <c r="BH34" s="38" t="n"/>
      <c r="BI34" s="38" t="n"/>
      <c r="BJ34" s="38" t="n"/>
      <c r="BK34" s="38" t="n"/>
      <c r="BL34" s="38" t="n"/>
      <c r="BM34" s="38" t="n"/>
      <c r="BN34" s="38" t="n"/>
      <c r="BO34" s="38" t="n"/>
      <c r="BP34" s="38" t="n"/>
      <c r="BQ34" s="38" t="n"/>
      <c r="BR34" s="38" t="n"/>
      <c r="BS34" s="38" t="n"/>
      <c r="BT34" s="38" t="n"/>
      <c r="BU34" s="38" t="n"/>
      <c r="BV34" s="39" t="n"/>
    </row>
    <row r="35" ht="23.1" customHeight="1" s="240">
      <c r="B35" s="38" t="n"/>
      <c r="C35" s="36" t="inlineStr">
        <is>
          <t>DATOS DE DESGASTE</t>
        </is>
      </c>
      <c r="D35" s="93" t="inlineStr">
        <is>
          <t>TOTAL DE HORAS</t>
        </is>
      </c>
      <c r="E35" s="94">
        <f>SUM(E10:E16,E18:E21,E23:E28,E30:E33)</f>
        <v/>
      </c>
      <c r="F35" s="94">
        <f>SUM(F10:F16,F18:F21,F23:F28,F30:F33)</f>
        <v/>
      </c>
      <c r="G35" s="94">
        <f>SUM(G10:G16,G18:G21,G23:G28,G30:G33)</f>
        <v/>
      </c>
      <c r="H35" s="181" t="n">
        <v>60</v>
      </c>
      <c r="I35" s="180">
        <f>E35/H35</f>
        <v/>
      </c>
      <c r="J35" s="38" t="n"/>
      <c r="K35" s="38" t="n"/>
      <c r="L35" s="182" t="inlineStr">
        <is>
          <t>DÍA</t>
        </is>
      </c>
      <c r="M35" s="95" t="n">
        <v>1</v>
      </c>
      <c r="N35" s="95" t="n">
        <v>2</v>
      </c>
      <c r="O35" s="95" t="n">
        <v>3</v>
      </c>
      <c r="P35" s="95" t="n">
        <v>4</v>
      </c>
      <c r="Q35" s="95" t="n">
        <v>5</v>
      </c>
      <c r="R35" s="95" t="n">
        <v>6</v>
      </c>
      <c r="S35" s="95" t="n">
        <v>7</v>
      </c>
      <c r="T35" s="95" t="n">
        <v>8</v>
      </c>
      <c r="U35" s="95" t="n">
        <v>9</v>
      </c>
      <c r="V35" s="95" t="n">
        <v>10</v>
      </c>
      <c r="W35" s="95" t="n">
        <v>11</v>
      </c>
      <c r="X35" s="95" t="n">
        <v>12</v>
      </c>
      <c r="Y35" s="95" t="n">
        <v>13</v>
      </c>
      <c r="Z35" s="95" t="n">
        <v>14</v>
      </c>
      <c r="AA35" s="95" t="n">
        <v>15</v>
      </c>
      <c r="AB35" s="95" t="n">
        <v>16</v>
      </c>
      <c r="AC35" s="95" t="n">
        <v>17</v>
      </c>
      <c r="AD35" s="95" t="n">
        <v>18</v>
      </c>
      <c r="AE35" s="95" t="n">
        <v>19</v>
      </c>
      <c r="AF35" s="95" t="n">
        <v>20</v>
      </c>
      <c r="AG35" s="95" t="n">
        <v>21</v>
      </c>
      <c r="AH35" s="95" t="n">
        <v>22</v>
      </c>
      <c r="AI35" s="95" t="n">
        <v>23</v>
      </c>
      <c r="AJ35" s="95" t="n">
        <v>24</v>
      </c>
      <c r="AK35" s="95" t="n">
        <v>25</v>
      </c>
      <c r="AL35" s="95" t="n">
        <v>26</v>
      </c>
      <c r="AM35" s="95" t="n">
        <v>27</v>
      </c>
      <c r="AN35" s="95" t="n">
        <v>28</v>
      </c>
      <c r="AO35" s="95" t="n">
        <v>29</v>
      </c>
      <c r="AP35" s="95" t="n">
        <v>30</v>
      </c>
      <c r="AQ35" s="95" t="n">
        <v>31</v>
      </c>
      <c r="AR35" s="95" t="n">
        <v>32</v>
      </c>
      <c r="AS35" s="95" t="n">
        <v>33</v>
      </c>
      <c r="AT35" s="95" t="n">
        <v>34</v>
      </c>
      <c r="AU35" s="95" t="n">
        <v>35</v>
      </c>
      <c r="AV35" s="95" t="n">
        <v>36</v>
      </c>
      <c r="AW35" s="95" t="n">
        <v>37</v>
      </c>
      <c r="AX35" s="95" t="n">
        <v>38</v>
      </c>
      <c r="AY35" s="95" t="n">
        <v>39</v>
      </c>
      <c r="AZ35" s="95" t="n">
        <v>40</v>
      </c>
      <c r="BA35" s="95" t="n">
        <v>41</v>
      </c>
      <c r="BB35" s="95" t="n">
        <v>42</v>
      </c>
      <c r="BC35" s="95" t="n">
        <v>43</v>
      </c>
      <c r="BD35" s="95" t="n">
        <v>44</v>
      </c>
      <c r="BE35" s="95" t="n">
        <v>45</v>
      </c>
      <c r="BF35" s="95" t="n">
        <v>46</v>
      </c>
      <c r="BG35" s="95" t="n">
        <v>47</v>
      </c>
      <c r="BH35" s="95" t="n">
        <v>48</v>
      </c>
      <c r="BI35" s="95" t="n">
        <v>49</v>
      </c>
      <c r="BJ35" s="95" t="n">
        <v>50</v>
      </c>
      <c r="BK35" s="95" t="n">
        <v>51</v>
      </c>
      <c r="BL35" s="95" t="n">
        <v>52</v>
      </c>
      <c r="BM35" s="95" t="n">
        <v>53</v>
      </c>
      <c r="BN35" s="95" t="n">
        <v>54</v>
      </c>
      <c r="BO35" s="95" t="n">
        <v>55</v>
      </c>
      <c r="BP35" s="95" t="n">
        <v>56</v>
      </c>
      <c r="BQ35" s="95" t="n">
        <v>57</v>
      </c>
      <c r="BR35" s="95" t="n">
        <v>58</v>
      </c>
      <c r="BS35" s="95" t="n">
        <v>59</v>
      </c>
      <c r="BT35" s="95" t="n">
        <v>60</v>
      </c>
      <c r="BU35" s="38" t="n"/>
      <c r="BV35" s="137" t="inlineStr">
        <is>
          <t>TOTAL</t>
        </is>
      </c>
    </row>
    <row r="36" ht="23.1" customHeight="1" s="240">
      <c r="B36" s="38" t="n"/>
      <c r="C36" s="38" t="n"/>
      <c r="D36" s="38" t="n"/>
      <c r="E36" s="38" t="n"/>
      <c r="F36" s="38" t="n"/>
      <c r="G36" s="38" t="n"/>
      <c r="H36" s="96" t="inlineStr">
        <is>
          <t xml:space="preserve">     ^ Introduzca el número de días</t>
        </is>
      </c>
      <c r="I36" s="38" t="n"/>
      <c r="J36" s="38" t="n"/>
      <c r="K36" s="38" t="n"/>
      <c r="L36" s="182" t="inlineStr">
        <is>
          <t>PLAN</t>
        </is>
      </c>
      <c r="M36" s="97">
        <f>E35</f>
        <v/>
      </c>
      <c r="N36" s="98">
        <f>M36-I35</f>
        <v/>
      </c>
      <c r="O36" s="98">
        <f>N36-I35</f>
        <v/>
      </c>
      <c r="P36" s="98">
        <f>O36-I35</f>
        <v/>
      </c>
      <c r="Q36" s="98">
        <f>P36-I35</f>
        <v/>
      </c>
      <c r="R36" s="98">
        <f>Q36-I35</f>
        <v/>
      </c>
      <c r="S36" s="98">
        <f>R36-I35</f>
        <v/>
      </c>
      <c r="T36" s="98">
        <f>S36-I35</f>
        <v/>
      </c>
      <c r="U36" s="98">
        <f>T36-I35</f>
        <v/>
      </c>
      <c r="V36" s="98">
        <f>U36-I35</f>
        <v/>
      </c>
      <c r="W36" s="98">
        <f>V36-I35</f>
        <v/>
      </c>
      <c r="X36" s="98">
        <f>W36-I35</f>
        <v/>
      </c>
      <c r="Y36" s="98">
        <f>X36-I35</f>
        <v/>
      </c>
      <c r="Z36" s="98">
        <f>Y36-I35</f>
        <v/>
      </c>
      <c r="AA36" s="98">
        <f>Z36-I35</f>
        <v/>
      </c>
      <c r="AB36" s="98">
        <f>AA36-I35</f>
        <v/>
      </c>
      <c r="AC36" s="98">
        <f>AB36-I35</f>
        <v/>
      </c>
      <c r="AD36" s="98">
        <f>AC36-I35</f>
        <v/>
      </c>
      <c r="AE36" s="98">
        <f>AD36-I35</f>
        <v/>
      </c>
      <c r="AF36" s="98">
        <f>AE36-I35</f>
        <v/>
      </c>
      <c r="AG36" s="98">
        <f>AF36-I35</f>
        <v/>
      </c>
      <c r="AH36" s="98">
        <f>AG36-I35</f>
        <v/>
      </c>
      <c r="AI36" s="98">
        <f>AH36-I35</f>
        <v/>
      </c>
      <c r="AJ36" s="98">
        <f>AI36-I35</f>
        <v/>
      </c>
      <c r="AK36" s="98">
        <f>AJ36-I35</f>
        <v/>
      </c>
      <c r="AL36" s="98">
        <f>AK36-I35</f>
        <v/>
      </c>
      <c r="AM36" s="98">
        <f>AL36-I35</f>
        <v/>
      </c>
      <c r="AN36" s="98">
        <f>AM36-I35</f>
        <v/>
      </c>
      <c r="AO36" s="98">
        <f>AN36-I35</f>
        <v/>
      </c>
      <c r="AP36" s="98">
        <f>AO36-I35</f>
        <v/>
      </c>
      <c r="AQ36" s="98">
        <f>AP36-I35</f>
        <v/>
      </c>
      <c r="AR36" s="98">
        <f>AQ36-I35</f>
        <v/>
      </c>
      <c r="AS36" s="98">
        <f>AR36-I35</f>
        <v/>
      </c>
      <c r="AT36" s="98">
        <f>AS36-I35</f>
        <v/>
      </c>
      <c r="AU36" s="98">
        <f>AT36-I35</f>
        <v/>
      </c>
      <c r="AV36" s="98">
        <f>AU36-I35</f>
        <v/>
      </c>
      <c r="AW36" s="98">
        <f>AV36-I35</f>
        <v/>
      </c>
      <c r="AX36" s="98">
        <f>AW36-I35</f>
        <v/>
      </c>
      <c r="AY36" s="98">
        <f>AX36-I35</f>
        <v/>
      </c>
      <c r="AZ36" s="98">
        <f>AY36-I35</f>
        <v/>
      </c>
      <c r="BA36" s="98">
        <f>AZ36-I35</f>
        <v/>
      </c>
      <c r="BB36" s="98">
        <f>BA36-I35</f>
        <v/>
      </c>
      <c r="BC36" s="98">
        <f>BB36-I35</f>
        <v/>
      </c>
      <c r="BD36" s="98">
        <f>BC36-I35</f>
        <v/>
      </c>
      <c r="BE36" s="98">
        <f>BD36-I35</f>
        <v/>
      </c>
      <c r="BF36" s="98">
        <f>BE36-I35</f>
        <v/>
      </c>
      <c r="BG36" s="98">
        <f>BF36-I35</f>
        <v/>
      </c>
      <c r="BH36" s="98">
        <f>BG36-I35</f>
        <v/>
      </c>
      <c r="BI36" s="98">
        <f>BH36-I35</f>
        <v/>
      </c>
      <c r="BJ36" s="98">
        <f>BI36-I35</f>
        <v/>
      </c>
      <c r="BK36" s="98">
        <f>BJ36-I35</f>
        <v/>
      </c>
      <c r="BL36" s="98">
        <f>BK36-I35</f>
        <v/>
      </c>
      <c r="BM36" s="98">
        <f>BL36-I35</f>
        <v/>
      </c>
      <c r="BN36" s="98">
        <f>BM36-I35</f>
        <v/>
      </c>
      <c r="BO36" s="98">
        <f>BN36-I35</f>
        <v/>
      </c>
      <c r="BP36" s="98">
        <f>BO36-I35</f>
        <v/>
      </c>
      <c r="BQ36" s="98">
        <f>BP36-I35</f>
        <v/>
      </c>
      <c r="BR36" s="98">
        <f>BQ36-I35</f>
        <v/>
      </c>
      <c r="BS36" s="98">
        <f>BR36-I35</f>
        <v/>
      </c>
      <c r="BT36" s="98">
        <f>BS36-I35</f>
        <v/>
      </c>
      <c r="BU36" s="38" t="n"/>
      <c r="BV36" s="138" t="inlineStr">
        <is>
          <t>HORAS</t>
        </is>
      </c>
    </row>
    <row r="37" ht="23.1" customHeight="1" s="240"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182" t="inlineStr">
        <is>
          <t>ESTIMAR</t>
        </is>
      </c>
      <c r="M37" s="97">
        <f>E35</f>
        <v/>
      </c>
      <c r="N37" s="97">
        <f>M39</f>
        <v/>
      </c>
      <c r="O37" s="97">
        <f>N39</f>
        <v/>
      </c>
      <c r="P37" s="97">
        <f>O39</f>
        <v/>
      </c>
      <c r="Q37" s="97">
        <f>P39</f>
        <v/>
      </c>
      <c r="R37" s="97">
        <f>Q39</f>
        <v/>
      </c>
      <c r="S37" s="97">
        <f>R39</f>
        <v/>
      </c>
      <c r="T37" s="97">
        <f>S39</f>
        <v/>
      </c>
      <c r="U37" s="97">
        <f>T39</f>
        <v/>
      </c>
      <c r="V37" s="97">
        <f>U39</f>
        <v/>
      </c>
      <c r="W37" s="97">
        <f>V39</f>
        <v/>
      </c>
      <c r="X37" s="97">
        <f>W39</f>
        <v/>
      </c>
      <c r="Y37" s="97">
        <f>X39</f>
        <v/>
      </c>
      <c r="Z37" s="97">
        <f>Y39</f>
        <v/>
      </c>
      <c r="AA37" s="97">
        <f>Z39</f>
        <v/>
      </c>
      <c r="AB37" s="97">
        <f>AA39</f>
        <v/>
      </c>
      <c r="AC37" s="97">
        <f>AB39</f>
        <v/>
      </c>
      <c r="AD37" s="97">
        <f>AC39</f>
        <v/>
      </c>
      <c r="AE37" s="97">
        <f>AD39</f>
        <v/>
      </c>
      <c r="AF37" s="97">
        <f>AE39</f>
        <v/>
      </c>
      <c r="AG37" s="97">
        <f>AF39</f>
        <v/>
      </c>
      <c r="AH37" s="97">
        <f>AG39</f>
        <v/>
      </c>
      <c r="AI37" s="97">
        <f>AH39</f>
        <v/>
      </c>
      <c r="AJ37" s="97">
        <f>AI39</f>
        <v/>
      </c>
      <c r="AK37" s="97">
        <f>AJ39</f>
        <v/>
      </c>
      <c r="AL37" s="97">
        <f>AK39</f>
        <v/>
      </c>
      <c r="AM37" s="97">
        <f>AL39</f>
        <v/>
      </c>
      <c r="AN37" s="97">
        <f>AM39</f>
        <v/>
      </c>
      <c r="AO37" s="97">
        <f>AN39</f>
        <v/>
      </c>
      <c r="AP37" s="97">
        <f>AO39</f>
        <v/>
      </c>
      <c r="AQ37" s="97">
        <f>AP39</f>
        <v/>
      </c>
      <c r="AR37" s="97">
        <f>AQ39</f>
        <v/>
      </c>
      <c r="AS37" s="97">
        <f>AR39</f>
        <v/>
      </c>
      <c r="AT37" s="97">
        <f>AS39</f>
        <v/>
      </c>
      <c r="AU37" s="97">
        <f>AT39</f>
        <v/>
      </c>
      <c r="AV37" s="97">
        <f>AU39</f>
        <v/>
      </c>
      <c r="AW37" s="97">
        <f>AV39</f>
        <v/>
      </c>
      <c r="AX37" s="97">
        <f>AW39</f>
        <v/>
      </c>
      <c r="AY37" s="97">
        <f>AX39</f>
        <v/>
      </c>
      <c r="AZ37" s="97">
        <f>AY39</f>
        <v/>
      </c>
      <c r="BA37" s="97">
        <f>AZ39</f>
        <v/>
      </c>
      <c r="BB37" s="97">
        <f>BA39</f>
        <v/>
      </c>
      <c r="BC37" s="97">
        <f>BB39</f>
        <v/>
      </c>
      <c r="BD37" s="97">
        <f>BC39</f>
        <v/>
      </c>
      <c r="BE37" s="97">
        <f>BD39</f>
        <v/>
      </c>
      <c r="BF37" s="97">
        <f>BE39</f>
        <v/>
      </c>
      <c r="BG37" s="97">
        <f>BF39</f>
        <v/>
      </c>
      <c r="BH37" s="97">
        <f>BG39</f>
        <v/>
      </c>
      <c r="BI37" s="97">
        <f>BH39</f>
        <v/>
      </c>
      <c r="BJ37" s="97">
        <f>BI39</f>
        <v/>
      </c>
      <c r="BK37" s="97">
        <f>BJ39</f>
        <v/>
      </c>
      <c r="BL37" s="97">
        <f>BK39</f>
        <v/>
      </c>
      <c r="BM37" s="97">
        <f>BL39</f>
        <v/>
      </c>
      <c r="BN37" s="97">
        <f>BM39</f>
        <v/>
      </c>
      <c r="BO37" s="97">
        <f>BN39</f>
        <v/>
      </c>
      <c r="BP37" s="97">
        <f>BO39</f>
        <v/>
      </c>
      <c r="BQ37" s="97">
        <f>BP39</f>
        <v/>
      </c>
      <c r="BR37" s="97">
        <f>BQ39</f>
        <v/>
      </c>
      <c r="BS37" s="97">
        <f>BR39</f>
        <v/>
      </c>
      <c r="BT37" s="97">
        <f>BS39</f>
        <v/>
      </c>
      <c r="BU37" s="38" t="n"/>
      <c r="BV37" s="139">
        <f>SUM(M37:BT37)</f>
        <v/>
      </c>
    </row>
    <row r="38" ht="23.1" customHeight="1" s="240"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99" t="inlineStr">
        <is>
          <t>Introduzca las horas completadas por día ----&gt;</t>
        </is>
      </c>
      <c r="L38" s="182" t="inlineStr">
        <is>
          <t>HRS COMPLETADO</t>
        </is>
      </c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6" t="n"/>
      <c r="AH38" s="76" t="n"/>
      <c r="AI38" s="76" t="n"/>
      <c r="AJ38" s="76" t="n"/>
      <c r="AK38" s="76" t="n"/>
      <c r="AL38" s="76" t="n"/>
      <c r="AM38" s="76" t="n"/>
      <c r="AN38" s="76" t="n"/>
      <c r="AO38" s="76" t="n"/>
      <c r="AP38" s="76" t="n"/>
      <c r="AQ38" s="76" t="n"/>
      <c r="AR38" s="76" t="n"/>
      <c r="AS38" s="76" t="n"/>
      <c r="AT38" s="76" t="n"/>
      <c r="AU38" s="76" t="n"/>
      <c r="AV38" s="76" t="n"/>
      <c r="AW38" s="76" t="n"/>
      <c r="AX38" s="76" t="n"/>
      <c r="AY38" s="76" t="n"/>
      <c r="AZ38" s="76" t="n"/>
      <c r="BA38" s="76" t="n"/>
      <c r="BB38" s="76" t="n"/>
      <c r="BC38" s="76" t="n"/>
      <c r="BD38" s="76" t="n"/>
      <c r="BE38" s="76" t="n"/>
      <c r="BF38" s="76" t="n"/>
      <c r="BG38" s="76" t="n"/>
      <c r="BH38" s="76" t="n"/>
      <c r="BI38" s="76" t="n"/>
      <c r="BJ38" s="76" t="n"/>
      <c r="BK38" s="76" t="n"/>
      <c r="BL38" s="76" t="n"/>
      <c r="BM38" s="76" t="n"/>
      <c r="BN38" s="76" t="n"/>
      <c r="BO38" s="76" t="n"/>
      <c r="BP38" s="76" t="n"/>
      <c r="BQ38" s="76" t="n"/>
      <c r="BR38" s="76" t="n"/>
      <c r="BS38" s="76" t="n"/>
      <c r="BT38" s="76" t="n"/>
      <c r="BU38" s="38" t="n"/>
      <c r="BV38" s="140">
        <f>SUM(M38:BT38)</f>
        <v/>
      </c>
    </row>
    <row r="39" ht="23.1" customHeight="1" s="240"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182" t="inlineStr">
        <is>
          <t>HRS RESTANTE</t>
        </is>
      </c>
      <c r="M39" s="97">
        <f>M37-M38</f>
        <v/>
      </c>
      <c r="N39" s="97">
        <f>N37-N38</f>
        <v/>
      </c>
      <c r="O39" s="97">
        <f>O37-O38</f>
        <v/>
      </c>
      <c r="P39" s="97">
        <f>P37-P38</f>
        <v/>
      </c>
      <c r="Q39" s="97">
        <f>Q37-Q38</f>
        <v/>
      </c>
      <c r="R39" s="97">
        <f>R37-R38</f>
        <v/>
      </c>
      <c r="S39" s="97">
        <f>S37-S38</f>
        <v/>
      </c>
      <c r="T39" s="97">
        <f>T37-T38</f>
        <v/>
      </c>
      <c r="U39" s="97">
        <f>U37-U38</f>
        <v/>
      </c>
      <c r="V39" s="97">
        <f>V37-V38</f>
        <v/>
      </c>
      <c r="W39" s="97">
        <f>W37-W38</f>
        <v/>
      </c>
      <c r="X39" s="97">
        <f>X37-X38</f>
        <v/>
      </c>
      <c r="Y39" s="97">
        <f>Y37-Y38</f>
        <v/>
      </c>
      <c r="Z39" s="97">
        <f>Z37-Z38</f>
        <v/>
      </c>
      <c r="AA39" s="97">
        <f>AA37-AA38</f>
        <v/>
      </c>
      <c r="AB39" s="97">
        <f>AB37-AB38</f>
        <v/>
      </c>
      <c r="AC39" s="97">
        <f>AC37-AC38</f>
        <v/>
      </c>
      <c r="AD39" s="97">
        <f>AD37-AD38</f>
        <v/>
      </c>
      <c r="AE39" s="97">
        <f>AE37-AE38</f>
        <v/>
      </c>
      <c r="AF39" s="97">
        <f>AF37-AF38</f>
        <v/>
      </c>
      <c r="AG39" s="97">
        <f>AG37-AG38</f>
        <v/>
      </c>
      <c r="AH39" s="97">
        <f>AH37-AH38</f>
        <v/>
      </c>
      <c r="AI39" s="97">
        <f>AI37-AI38</f>
        <v/>
      </c>
      <c r="AJ39" s="97">
        <f>AJ37-AJ38</f>
        <v/>
      </c>
      <c r="AK39" s="97">
        <f>AK37-AK38</f>
        <v/>
      </c>
      <c r="AL39" s="97">
        <f>AL37-AL38</f>
        <v/>
      </c>
      <c r="AM39" s="97">
        <f>AM37-AM38</f>
        <v/>
      </c>
      <c r="AN39" s="97">
        <f>AN37-AN38</f>
        <v/>
      </c>
      <c r="AO39" s="97">
        <f>AO37-AO38</f>
        <v/>
      </c>
      <c r="AP39" s="97">
        <f>AP37-AP38</f>
        <v/>
      </c>
      <c r="AQ39" s="97">
        <f>AQ37-AQ38</f>
        <v/>
      </c>
      <c r="AR39" s="97">
        <f>AR37-AR38</f>
        <v/>
      </c>
      <c r="AS39" s="97">
        <f>AS37-AS38</f>
        <v/>
      </c>
      <c r="AT39" s="97">
        <f>AT37-AT38</f>
        <v/>
      </c>
      <c r="AU39" s="97">
        <f>AU37-AU38</f>
        <v/>
      </c>
      <c r="AV39" s="97">
        <f>AV37-AV38</f>
        <v/>
      </c>
      <c r="AW39" s="97">
        <f>AW37-AW38</f>
        <v/>
      </c>
      <c r="AX39" s="97">
        <f>AX37-AX38</f>
        <v/>
      </c>
      <c r="AY39" s="97">
        <f>AY37-AY38</f>
        <v/>
      </c>
      <c r="AZ39" s="97">
        <f>AZ37-AZ38</f>
        <v/>
      </c>
      <c r="BA39" s="97">
        <f>BA37-BA38</f>
        <v/>
      </c>
      <c r="BB39" s="97">
        <f>BB37-BB38</f>
        <v/>
      </c>
      <c r="BC39" s="97">
        <f>BC37-BC38</f>
        <v/>
      </c>
      <c r="BD39" s="97">
        <f>BD37-BD38</f>
        <v/>
      </c>
      <c r="BE39" s="97">
        <f>BE37-BE38</f>
        <v/>
      </c>
      <c r="BF39" s="97">
        <f>BF37-BF38</f>
        <v/>
      </c>
      <c r="BG39" s="97">
        <f>BG37-BG38</f>
        <v/>
      </c>
      <c r="BH39" s="97">
        <f>BH37-BH38</f>
        <v/>
      </c>
      <c r="BI39" s="97">
        <f>BI37-BI38</f>
        <v/>
      </c>
      <c r="BJ39" s="97">
        <f>BJ37-BJ38</f>
        <v/>
      </c>
      <c r="BK39" s="97">
        <f>BK37-BK38</f>
        <v/>
      </c>
      <c r="BL39" s="97">
        <f>BL37-BL38</f>
        <v/>
      </c>
      <c r="BM39" s="97">
        <f>BM37-BM38</f>
        <v/>
      </c>
      <c r="BN39" s="97">
        <f>BN37-BN38</f>
        <v/>
      </c>
      <c r="BO39" s="97">
        <f>BO37-BO38</f>
        <v/>
      </c>
      <c r="BP39" s="97">
        <f>BP37-BP38</f>
        <v/>
      </c>
      <c r="BQ39" s="97">
        <f>BQ37-BQ38</f>
        <v/>
      </c>
      <c r="BR39" s="97">
        <f>BR37-BR38</f>
        <v/>
      </c>
      <c r="BS39" s="97">
        <f>BS37-BS38</f>
        <v/>
      </c>
      <c r="BT39" s="97">
        <f>BT37-BT38</f>
        <v/>
      </c>
      <c r="BU39" s="38" t="n"/>
      <c r="BV39" s="140">
        <f>SUM(M39:BT39)</f>
        <v/>
      </c>
    </row>
    <row r="40" ht="19.5" customHeight="1" s="240">
      <c r="C40" s="36" t="inlineStr">
        <is>
          <t>GRÁFICO DE BURNDOWN</t>
        </is>
      </c>
    </row>
    <row r="41" ht="381.95" customHeight="1" s="240"/>
    <row r="42" ht="216.95" customHeight="1" s="240"/>
  </sheetData>
  <mergeCells count="22">
    <mergeCell ref="AV7:AZ7"/>
    <mergeCell ref="BF7:BJ7"/>
    <mergeCell ref="BP7:BT7"/>
    <mergeCell ref="I7:I8"/>
    <mergeCell ref="R7:V7"/>
    <mergeCell ref="AQ7:AU7"/>
    <mergeCell ref="BA7:BE7"/>
    <mergeCell ref="D7:D8"/>
    <mergeCell ref="AL7:AP7"/>
    <mergeCell ref="H7:H8"/>
    <mergeCell ref="J7:J8"/>
    <mergeCell ref="E7:G7"/>
    <mergeCell ref="M7:Q7"/>
    <mergeCell ref="W7:AA7"/>
    <mergeCell ref="AG7:AK7"/>
    <mergeCell ref="C7:C8"/>
    <mergeCell ref="K7:K8"/>
    <mergeCell ref="AB7:AF7"/>
    <mergeCell ref="B7:B8"/>
    <mergeCell ref="BK7:BO7"/>
    <mergeCell ref="L7:L8"/>
    <mergeCell ref="K2:K6"/>
  </mergeCells>
  <conditionalFormatting sqref="L9:L33">
    <cfRule type="dataBar" priority="1">
      <dataBar>
        <cfvo type="percent" val="0"/>
        <cfvo type="percent" val="100"/>
        <color theme="8" tint="0.5999938962981048"/>
      </dataBar>
    </cfRule>
  </conditionalFormatting>
  <pageMargins left="0.3" right="0.3" top="0.3" bottom="0.3" header="0" footer="0"/>
  <pageSetup orientation="landscape" scale="32" fitToHeight="0" horizontalDpi="0" verticalDpi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theme="3" tint="0.5999938962981048"/>
    <outlinePr summaryBelow="1" summaryRight="1"/>
    <pageSetUpPr fitToPage="1"/>
  </sheetPr>
  <dimension ref="A1:N39"/>
  <sheetViews>
    <sheetView showGridLines="0" workbookViewId="0">
      <selection activeCell="I3" sqref="I3"/>
    </sheetView>
  </sheetViews>
  <sheetFormatPr baseColWidth="10" defaultColWidth="11.125" defaultRowHeight="15.75"/>
  <cols>
    <col width="3.25" customWidth="1" style="240" min="1" max="1"/>
    <col width="9" customWidth="1" style="240" min="2" max="2"/>
    <col width="9.25" customWidth="1" style="240" min="3" max="3"/>
    <col width="33.5" customWidth="1" style="240" min="4" max="4"/>
    <col width="24" customWidth="1" style="240" min="5" max="5"/>
    <col width="65.875" customWidth="1" style="240" min="6" max="6"/>
    <col width="24" customWidth="1" style="240" min="7" max="7"/>
    <col width="13.875" customWidth="1" style="240" min="8" max="9"/>
    <col width="39.125" customWidth="1" style="240" min="10" max="10"/>
    <col width="3.25" customWidth="1" style="240" min="11" max="11"/>
    <col width="13.875" customWidth="1" style="240" min="12" max="12"/>
    <col width="3.25" customWidth="1" style="240" min="13" max="13"/>
    <col width="13.875" customWidth="1" style="240" min="14" max="14"/>
    <col width="3.25" customWidth="1" style="240" min="15" max="15"/>
  </cols>
  <sheetData>
    <row r="1" ht="35.1" customHeight="1" s="240" thickBot="1">
      <c r="B1" s="106" t="inlineStr">
        <is>
          <t>BACKLOG DE LANZAMIENTOS</t>
        </is>
      </c>
      <c r="C1" s="37" t="n"/>
      <c r="D1" s="37" t="n"/>
      <c r="E1" s="36" t="n"/>
      <c r="F1" s="37" t="n"/>
      <c r="G1" s="37" t="n"/>
      <c r="H1" s="37" t="n"/>
      <c r="I1" s="37" t="n"/>
      <c r="J1" s="37" t="n"/>
      <c r="K1" s="37" t="n"/>
      <c r="L1" s="34" t="n"/>
      <c r="M1" s="38" t="n"/>
      <c r="N1" s="38" t="n"/>
    </row>
    <row r="2" ht="36" customHeight="1" s="240">
      <c r="B2" s="131" t="inlineStr">
        <is>
          <t>PRIORIDAD</t>
        </is>
      </c>
      <c r="C2" s="132" t="inlineStr">
        <is>
          <t>CARRERA</t>
        </is>
      </c>
      <c r="D2" s="132" t="inlineStr">
        <is>
          <t>FUNCIONALIDAD</t>
        </is>
      </c>
      <c r="E2" s="133" t="inlineStr">
        <is>
          <t>TÍTULO DE LA TAREA</t>
        </is>
      </c>
      <c r="F2" s="134" t="inlineStr">
        <is>
          <t>DESCRIPCIÓN DE LA TAREA</t>
        </is>
      </c>
      <c r="G2" s="134" t="inlineStr">
        <is>
          <t>PROPIETARIO DE LA TAREA</t>
        </is>
      </c>
      <c r="H2" s="135" t="inlineStr">
        <is>
          <t>ESTIMACIÓN DE TRABAJO EN HORAS</t>
        </is>
      </c>
      <c r="I2" s="132" t="inlineStr">
        <is>
          <t>ESTADO</t>
        </is>
      </c>
      <c r="J2" s="136" t="inlineStr">
        <is>
          <t>NOTAS</t>
        </is>
      </c>
      <c r="K2" s="38" t="n"/>
      <c r="L2" s="132" t="inlineStr">
        <is>
          <t>CLAVE DE ESTADO</t>
        </is>
      </c>
      <c r="M2" s="38" t="n"/>
      <c r="N2" s="132" t="inlineStr">
        <is>
          <t>ESTIMACIÓN DE TRABAJO EN HORAS</t>
        </is>
      </c>
    </row>
    <row r="3" ht="20.1" customHeight="1" s="240">
      <c r="B3" s="122" t="n"/>
      <c r="C3" s="126" t="n"/>
      <c r="D3" s="126" t="n"/>
      <c r="E3" s="124" t="n"/>
      <c r="F3" s="101" t="n"/>
      <c r="G3" s="101" t="n"/>
      <c r="H3" s="107" t="n">
        <v>1</v>
      </c>
      <c r="I3" s="109" t="inlineStr">
        <is>
          <t>Íntegro</t>
        </is>
      </c>
      <c r="J3" s="118" t="n"/>
      <c r="K3" s="38" t="n"/>
      <c r="L3" s="114" t="inlineStr">
        <is>
          <t>Íntegro</t>
        </is>
      </c>
      <c r="M3" s="38" t="n"/>
      <c r="N3" s="120" t="n">
        <v>1</v>
      </c>
    </row>
    <row r="4" ht="20.1" customHeight="1" s="240">
      <c r="B4" s="122" t="n"/>
      <c r="C4" s="126" t="n"/>
      <c r="D4" s="126" t="n"/>
      <c r="E4" s="124" t="n"/>
      <c r="F4" s="101" t="n"/>
      <c r="G4" s="101" t="n"/>
      <c r="H4" s="107" t="n">
        <v>2</v>
      </c>
      <c r="I4" s="109" t="inlineStr">
        <is>
          <t>Íntegro</t>
        </is>
      </c>
      <c r="J4" s="118" t="n"/>
      <c r="K4" s="38" t="n"/>
      <c r="L4" s="115" t="inlineStr">
        <is>
          <t>Atrasado</t>
        </is>
      </c>
      <c r="M4" s="38" t="n"/>
      <c r="N4" s="120" t="n">
        <v>2</v>
      </c>
    </row>
    <row r="5" ht="20.1" customHeight="1" s="240">
      <c r="B5" s="122" t="n"/>
      <c r="C5" s="126" t="n"/>
      <c r="D5" s="126" t="n"/>
      <c r="E5" s="124" t="n"/>
      <c r="F5" s="101" t="n"/>
      <c r="G5" s="101" t="n"/>
      <c r="H5" s="107" t="n">
        <v>8</v>
      </c>
      <c r="I5" s="109" t="inlineStr">
        <is>
          <t>Íntegro</t>
        </is>
      </c>
      <c r="J5" s="118" t="n"/>
      <c r="K5" s="38" t="n"/>
      <c r="L5" s="116" t="inlineStr">
        <is>
          <t>En curso</t>
        </is>
      </c>
      <c r="M5" s="38" t="n"/>
      <c r="N5" s="120" t="n">
        <v>4</v>
      </c>
    </row>
    <row r="6" ht="20.1" customHeight="1" s="240" thickBot="1">
      <c r="B6" s="122" t="n"/>
      <c r="C6" s="126" t="n"/>
      <c r="D6" s="126" t="n"/>
      <c r="E6" s="124" t="n"/>
      <c r="F6" s="101" t="n"/>
      <c r="G6" s="101" t="n"/>
      <c r="H6" s="107" t="n">
        <v>8</v>
      </c>
      <c r="I6" s="110" t="inlineStr">
        <is>
          <t>Atrasado</t>
        </is>
      </c>
      <c r="J6" s="118" t="n"/>
      <c r="K6" s="38" t="n"/>
      <c r="L6" s="117" t="inlineStr">
        <is>
          <t>No iniciado</t>
        </is>
      </c>
      <c r="M6" s="38" t="n"/>
      <c r="N6" s="120" t="n">
        <v>8</v>
      </c>
    </row>
    <row r="7" ht="20.1" customHeight="1" s="240">
      <c r="B7" s="122" t="n"/>
      <c r="C7" s="126" t="n"/>
      <c r="D7" s="126" t="n"/>
      <c r="E7" s="124" t="n"/>
      <c r="F7" s="101" t="n"/>
      <c r="G7" s="101" t="n"/>
      <c r="H7" s="107" t="n">
        <v>4</v>
      </c>
      <c r="I7" s="111" t="inlineStr">
        <is>
          <t>En curso</t>
        </is>
      </c>
      <c r="J7" s="118" t="n"/>
      <c r="K7" s="38" t="n"/>
      <c r="L7" s="34" t="n"/>
      <c r="M7" s="38" t="n"/>
      <c r="N7" s="120" t="n">
        <v>16</v>
      </c>
    </row>
    <row r="8" ht="20.1" customHeight="1" s="240">
      <c r="B8" s="122" t="n"/>
      <c r="C8" s="126" t="n"/>
      <c r="D8" s="126" t="n"/>
      <c r="E8" s="124" t="n"/>
      <c r="F8" s="101" t="n"/>
      <c r="G8" s="101" t="n"/>
      <c r="H8" s="107" t="n">
        <v>80</v>
      </c>
      <c r="I8" s="111" t="inlineStr">
        <is>
          <t>En curso</t>
        </is>
      </c>
      <c r="J8" s="118" t="n"/>
      <c r="K8" s="38" t="n"/>
      <c r="L8" s="34" t="n"/>
      <c r="M8" s="38" t="n"/>
      <c r="N8" s="120" t="n">
        <v>24</v>
      </c>
    </row>
    <row r="9" ht="20.1" customHeight="1" s="240">
      <c r="B9" s="122" t="n"/>
      <c r="C9" s="126" t="n"/>
      <c r="D9" s="126" t="n"/>
      <c r="E9" s="124" t="n"/>
      <c r="F9" s="101" t="n"/>
      <c r="G9" s="101" t="n"/>
      <c r="H9" s="107" t="n">
        <v>16</v>
      </c>
      <c r="I9" s="112" t="inlineStr">
        <is>
          <t>No iniciado</t>
        </is>
      </c>
      <c r="J9" s="118" t="n"/>
      <c r="K9" s="38" t="n"/>
      <c r="L9" s="34" t="n"/>
      <c r="M9" s="38" t="n"/>
      <c r="N9" s="120" t="n">
        <v>40</v>
      </c>
    </row>
    <row r="10" ht="20.1" customHeight="1" s="240" thickBot="1">
      <c r="B10" s="122" t="n"/>
      <c r="C10" s="126" t="n"/>
      <c r="D10" s="126" t="n"/>
      <c r="E10" s="124" t="n"/>
      <c r="F10" s="101" t="n"/>
      <c r="G10" s="101" t="n"/>
      <c r="H10" s="107" t="n">
        <v>8</v>
      </c>
      <c r="I10" s="112" t="inlineStr">
        <is>
          <t>No iniciado</t>
        </is>
      </c>
      <c r="J10" s="118" t="n"/>
      <c r="K10" s="38" t="n"/>
      <c r="L10" s="34" t="n"/>
      <c r="M10" s="38" t="n"/>
      <c r="N10" s="121" t="n">
        <v>80</v>
      </c>
    </row>
    <row r="11" ht="20.1" customHeight="1" s="240">
      <c r="B11" s="122" t="n"/>
      <c r="C11" s="126" t="n"/>
      <c r="D11" s="126" t="n"/>
      <c r="E11" s="124" t="n"/>
      <c r="F11" s="101" t="n"/>
      <c r="G11" s="101" t="n"/>
      <c r="H11" s="107" t="n">
        <v>4</v>
      </c>
      <c r="I11" s="112" t="n"/>
      <c r="J11" s="118" t="n"/>
      <c r="K11" s="38" t="n"/>
      <c r="L11" s="34" t="n"/>
      <c r="M11" s="38" t="n"/>
      <c r="N11" s="38" t="n"/>
    </row>
    <row r="12" ht="20.1" customHeight="1" s="240">
      <c r="B12" s="122" t="n"/>
      <c r="C12" s="126" t="n"/>
      <c r="D12" s="126" t="n"/>
      <c r="E12" s="124" t="n"/>
      <c r="F12" s="101" t="n"/>
      <c r="G12" s="101" t="n"/>
      <c r="H12" s="107" t="n">
        <v>2</v>
      </c>
      <c r="I12" s="112" t="n"/>
      <c r="J12" s="118" t="n"/>
      <c r="K12" s="38" t="n"/>
      <c r="L12" s="34" t="n"/>
      <c r="M12" s="38" t="n"/>
      <c r="N12" s="38" t="n"/>
    </row>
    <row r="13" ht="20.1" customHeight="1" s="240">
      <c r="B13" s="122" t="n"/>
      <c r="C13" s="126" t="n"/>
      <c r="D13" s="126" t="n"/>
      <c r="E13" s="124" t="n"/>
      <c r="F13" s="101" t="n"/>
      <c r="G13" s="101" t="n"/>
      <c r="H13" s="107" t="n">
        <v>24</v>
      </c>
      <c r="I13" s="112" t="n"/>
      <c r="J13" s="118" t="n"/>
      <c r="K13" s="38" t="n"/>
      <c r="L13" s="34" t="n"/>
      <c r="M13" s="38" t="n"/>
      <c r="N13" s="38" t="n"/>
    </row>
    <row r="14" ht="20.1" customHeight="1" s="240">
      <c r="B14" s="122" t="n"/>
      <c r="C14" s="126" t="n"/>
      <c r="D14" s="126" t="n"/>
      <c r="E14" s="124" t="n"/>
      <c r="F14" s="101" t="n"/>
      <c r="G14" s="101" t="n"/>
      <c r="H14" s="107" t="n">
        <v>40</v>
      </c>
      <c r="I14" s="112" t="n"/>
      <c r="J14" s="118" t="n"/>
      <c r="K14" s="38" t="n"/>
      <c r="L14" s="34" t="n"/>
      <c r="M14" s="38" t="n"/>
      <c r="N14" s="38" t="n"/>
    </row>
    <row r="15" ht="20.1" customHeight="1" s="240">
      <c r="B15" s="122" t="n"/>
      <c r="C15" s="126" t="n"/>
      <c r="D15" s="126" t="n"/>
      <c r="E15" s="124" t="n"/>
      <c r="F15" s="101" t="n"/>
      <c r="G15" s="101" t="n"/>
      <c r="H15" s="107" t="n"/>
      <c r="I15" s="112" t="n"/>
      <c r="J15" s="118" t="n"/>
      <c r="K15" s="38" t="n"/>
      <c r="L15" s="34" t="n"/>
      <c r="M15" s="38" t="n"/>
      <c r="N15" s="38" t="n"/>
    </row>
    <row r="16" ht="20.1" customHeight="1" s="240">
      <c r="B16" s="122" t="n"/>
      <c r="C16" s="126" t="n"/>
      <c r="D16" s="126" t="n"/>
      <c r="E16" s="124" t="n"/>
      <c r="F16" s="101" t="n"/>
      <c r="G16" s="101" t="n"/>
      <c r="H16" s="107" t="n"/>
      <c r="I16" s="112" t="n"/>
      <c r="J16" s="118" t="n"/>
      <c r="K16" s="38" t="n"/>
      <c r="L16" s="34" t="n"/>
      <c r="M16" s="38" t="n"/>
      <c r="N16" s="38" t="n"/>
    </row>
    <row r="17" ht="20.1" customHeight="1" s="240">
      <c r="B17" s="122" t="n"/>
      <c r="C17" s="126" t="n"/>
      <c r="D17" s="126" t="n"/>
      <c r="E17" s="124" t="n"/>
      <c r="F17" s="101" t="n"/>
      <c r="G17" s="101" t="n"/>
      <c r="H17" s="107" t="n"/>
      <c r="I17" s="112" t="n"/>
      <c r="J17" s="118" t="n"/>
      <c r="K17" s="38" t="n"/>
      <c r="L17" s="34" t="n"/>
      <c r="M17" s="38" t="n"/>
      <c r="N17" s="38" t="n"/>
    </row>
    <row r="18" ht="20.1" customHeight="1" s="240">
      <c r="B18" s="122" t="n"/>
      <c r="C18" s="126" t="n"/>
      <c r="D18" s="126" t="n"/>
      <c r="E18" s="124" t="n"/>
      <c r="F18" s="101" t="n"/>
      <c r="G18" s="101" t="n"/>
      <c r="H18" s="107" t="n"/>
      <c r="I18" s="112" t="n"/>
      <c r="J18" s="118" t="n"/>
      <c r="K18" s="38" t="n"/>
      <c r="L18" s="34" t="n"/>
      <c r="M18" s="38" t="n"/>
      <c r="N18" s="38" t="n"/>
    </row>
    <row r="19" ht="20.1" customHeight="1" s="240">
      <c r="B19" s="122" t="n"/>
      <c r="C19" s="126" t="n"/>
      <c r="D19" s="126" t="n"/>
      <c r="E19" s="124" t="n"/>
      <c r="F19" s="101" t="n"/>
      <c r="G19" s="101" t="n"/>
      <c r="H19" s="107" t="n"/>
      <c r="I19" s="112" t="n"/>
      <c r="J19" s="118" t="n"/>
      <c r="K19" s="38" t="n"/>
      <c r="L19" s="34" t="n"/>
      <c r="M19" s="38" t="n"/>
      <c r="N19" s="38" t="n"/>
    </row>
    <row r="20" ht="20.1" customHeight="1" s="240">
      <c r="B20" s="122" t="n"/>
      <c r="C20" s="126" t="n"/>
      <c r="D20" s="126" t="n"/>
      <c r="E20" s="124" t="n"/>
      <c r="F20" s="101" t="n"/>
      <c r="G20" s="101" t="n"/>
      <c r="H20" s="107" t="n"/>
      <c r="I20" s="112" t="n"/>
      <c r="J20" s="118" t="n"/>
      <c r="K20" s="38" t="n"/>
      <c r="L20" s="34" t="n"/>
      <c r="M20" s="38" t="n"/>
      <c r="N20" s="38" t="n"/>
    </row>
    <row r="21" ht="20.1" customHeight="1" s="240">
      <c r="B21" s="122" t="n"/>
      <c r="C21" s="126" t="n"/>
      <c r="D21" s="126" t="n"/>
      <c r="E21" s="124" t="n"/>
      <c r="F21" s="101" t="n"/>
      <c r="G21" s="101" t="n"/>
      <c r="H21" s="107" t="n"/>
      <c r="I21" s="112" t="n"/>
      <c r="J21" s="118" t="n"/>
      <c r="K21" s="38" t="n"/>
      <c r="L21" s="34" t="n"/>
      <c r="M21" s="38" t="n"/>
      <c r="N21" s="38" t="n"/>
    </row>
    <row r="22" ht="20.1" customHeight="1" s="240">
      <c r="B22" s="122" t="n"/>
      <c r="C22" s="126" t="n"/>
      <c r="D22" s="126" t="n"/>
      <c r="E22" s="124" t="n"/>
      <c r="F22" s="101" t="n"/>
      <c r="G22" s="101" t="n"/>
      <c r="H22" s="107" t="n"/>
      <c r="I22" s="112" t="n"/>
      <c r="J22" s="118" t="n"/>
      <c r="K22" s="38" t="n"/>
      <c r="L22" s="34" t="n"/>
      <c r="M22" s="38" t="n"/>
      <c r="N22" s="38" t="n"/>
    </row>
    <row r="23" ht="20.1" customHeight="1" s="240">
      <c r="B23" s="122" t="n"/>
      <c r="C23" s="126" t="n"/>
      <c r="D23" s="126" t="n"/>
      <c r="E23" s="124" t="n"/>
      <c r="F23" s="101" t="n"/>
      <c r="G23" s="101" t="n"/>
      <c r="H23" s="107" t="n"/>
      <c r="I23" s="112" t="n"/>
      <c r="J23" s="118" t="n"/>
      <c r="K23" s="38" t="n"/>
      <c r="L23" s="34" t="n"/>
      <c r="M23" s="38" t="n"/>
      <c r="N23" s="38" t="n"/>
    </row>
    <row r="24" ht="20.1" customHeight="1" s="240">
      <c r="B24" s="122" t="n"/>
      <c r="C24" s="126" t="n"/>
      <c r="D24" s="126" t="n"/>
      <c r="E24" s="124" t="n"/>
      <c r="F24" s="101" t="n"/>
      <c r="G24" s="101" t="n"/>
      <c r="H24" s="107" t="n"/>
      <c r="I24" s="112" t="n"/>
      <c r="J24" s="118" t="n"/>
      <c r="K24" s="38" t="n"/>
      <c r="M24" s="38" t="n"/>
      <c r="N24" s="38" t="n"/>
    </row>
    <row r="25" ht="20.1" customHeight="1" s="240">
      <c r="B25" s="122" t="n"/>
      <c r="C25" s="126" t="n"/>
      <c r="D25" s="126" t="n"/>
      <c r="E25" s="124" t="n"/>
      <c r="F25" s="101" t="n"/>
      <c r="G25" s="101" t="n"/>
      <c r="H25" s="107" t="n"/>
      <c r="I25" s="112" t="n"/>
      <c r="J25" s="118" t="n"/>
      <c r="K25" s="38" t="n"/>
      <c r="M25" s="38" t="n"/>
      <c r="N25" s="38" t="n"/>
    </row>
    <row r="26" ht="20.1" customHeight="1" s="240">
      <c r="B26" s="122" t="n"/>
      <c r="C26" s="126" t="n"/>
      <c r="D26" s="126" t="n"/>
      <c r="E26" s="124" t="n"/>
      <c r="F26" s="101" t="n"/>
      <c r="G26" s="101" t="n"/>
      <c r="H26" s="107" t="n"/>
      <c r="I26" s="112" t="n"/>
      <c r="J26" s="118" t="n"/>
      <c r="K26" s="38" t="n"/>
      <c r="M26" s="38" t="n"/>
      <c r="N26" s="38" t="n"/>
    </row>
    <row r="27" ht="20.1" customHeight="1" s="240">
      <c r="B27" s="122" t="n"/>
      <c r="C27" s="126" t="n"/>
      <c r="D27" s="126" t="n"/>
      <c r="E27" s="124" t="n"/>
      <c r="F27" s="101" t="n"/>
      <c r="G27" s="101" t="n"/>
      <c r="H27" s="107" t="n"/>
      <c r="I27" s="112" t="n"/>
      <c r="J27" s="118" t="n"/>
      <c r="K27" s="38" t="n"/>
      <c r="M27" s="38" t="n"/>
      <c r="N27" s="38" t="n"/>
    </row>
    <row r="28" ht="20.1" customHeight="1" s="240">
      <c r="B28" s="122" t="n"/>
      <c r="C28" s="126" t="n"/>
      <c r="D28" s="126" t="n"/>
      <c r="E28" s="124" t="n"/>
      <c r="F28" s="101" t="n"/>
      <c r="G28" s="101" t="n"/>
      <c r="H28" s="107" t="n"/>
      <c r="I28" s="112" t="n"/>
      <c r="J28" s="118" t="n"/>
      <c r="K28" s="38" t="n"/>
      <c r="M28" s="38" t="n"/>
      <c r="N28" s="38" t="n"/>
    </row>
    <row r="29" ht="20.1" customHeight="1" s="240">
      <c r="B29" s="122" t="n"/>
      <c r="C29" s="126" t="n"/>
      <c r="D29" s="126" t="n"/>
      <c r="E29" s="124" t="n"/>
      <c r="F29" s="101" t="n"/>
      <c r="G29" s="101" t="n"/>
      <c r="H29" s="107" t="n"/>
      <c r="I29" s="112" t="n"/>
      <c r="J29" s="118" t="n"/>
      <c r="K29" s="38" t="n"/>
      <c r="M29" s="38" t="n"/>
      <c r="N29" s="38" t="n"/>
    </row>
    <row r="30" ht="20.1" customHeight="1" s="240">
      <c r="B30" s="122" t="n"/>
      <c r="C30" s="126" t="n"/>
      <c r="D30" s="126" t="n"/>
      <c r="E30" s="124" t="n"/>
      <c r="F30" s="101" t="n"/>
      <c r="G30" s="101" t="n"/>
      <c r="H30" s="107" t="n"/>
      <c r="I30" s="112" t="n"/>
      <c r="J30" s="118" t="n"/>
      <c r="K30" s="38" t="n"/>
      <c r="M30" s="38" t="n"/>
      <c r="N30" s="38" t="n"/>
    </row>
    <row r="31" ht="20.1" customHeight="1" s="240">
      <c r="B31" s="122" t="n"/>
      <c r="C31" s="126" t="n"/>
      <c r="D31" s="126" t="n"/>
      <c r="E31" s="124" t="n"/>
      <c r="F31" s="101" t="n"/>
      <c r="G31" s="101" t="n"/>
      <c r="H31" s="107" t="n"/>
      <c r="I31" s="112" t="n"/>
      <c r="J31" s="118" t="n"/>
      <c r="K31" s="38" t="n"/>
      <c r="M31" s="38" t="n"/>
      <c r="N31" s="38" t="n"/>
    </row>
    <row r="32" ht="20.1" customHeight="1" s="240">
      <c r="B32" s="122" t="n"/>
      <c r="C32" s="126" t="n"/>
      <c r="D32" s="126" t="n"/>
      <c r="E32" s="124" t="n"/>
      <c r="F32" s="101" t="n"/>
      <c r="G32" s="101" t="n"/>
      <c r="H32" s="107" t="n"/>
      <c r="I32" s="112" t="n"/>
      <c r="J32" s="118" t="n"/>
      <c r="K32" s="38" t="n"/>
      <c r="M32" s="38" t="n"/>
      <c r="N32" s="38" t="n"/>
    </row>
    <row r="33" ht="20.1" customHeight="1" s="240">
      <c r="B33" s="122" t="n"/>
      <c r="C33" s="126" t="n"/>
      <c r="D33" s="126" t="n"/>
      <c r="E33" s="124" t="n"/>
      <c r="F33" s="101" t="n"/>
      <c r="G33" s="101" t="n"/>
      <c r="H33" s="107" t="n"/>
      <c r="I33" s="112" t="n"/>
      <c r="J33" s="118" t="n"/>
      <c r="K33" s="38" t="n"/>
      <c r="M33" s="38" t="n"/>
      <c r="N33" s="38" t="n"/>
    </row>
    <row r="34" ht="20.1" customHeight="1" s="240">
      <c r="B34" s="122" t="n"/>
      <c r="C34" s="126" t="n"/>
      <c r="D34" s="126" t="n"/>
      <c r="E34" s="124" t="n"/>
      <c r="F34" s="101" t="n"/>
      <c r="G34" s="101" t="n"/>
      <c r="H34" s="107" t="n"/>
      <c r="I34" s="112" t="n"/>
      <c r="J34" s="118" t="n"/>
      <c r="K34" s="38" t="n"/>
      <c r="M34" s="38" t="n"/>
      <c r="N34" s="38" t="n"/>
    </row>
    <row r="35" ht="20.1" customHeight="1" s="240">
      <c r="B35" s="122" t="n"/>
      <c r="C35" s="126" t="n"/>
      <c r="D35" s="126" t="n"/>
      <c r="E35" s="124" t="n"/>
      <c r="F35" s="101" t="n"/>
      <c r="G35" s="101" t="n"/>
      <c r="H35" s="107" t="n"/>
      <c r="I35" s="112" t="n"/>
      <c r="J35" s="118" t="n"/>
      <c r="K35" s="38" t="n"/>
      <c r="M35" s="38" t="n"/>
      <c r="N35" s="38" t="n"/>
    </row>
    <row r="36" ht="20.1" customHeight="1" s="240">
      <c r="B36" s="122" t="n"/>
      <c r="C36" s="126" t="n"/>
      <c r="D36" s="126" t="n"/>
      <c r="E36" s="124" t="n"/>
      <c r="F36" s="101" t="n"/>
      <c r="G36" s="101" t="n"/>
      <c r="H36" s="107" t="n"/>
      <c r="I36" s="112" t="n"/>
      <c r="J36" s="118" t="n"/>
      <c r="K36" s="38" t="n"/>
      <c r="M36" s="38" t="n"/>
      <c r="N36" s="38" t="n"/>
    </row>
    <row r="37" ht="20.1" customHeight="1" s="240">
      <c r="B37" s="122" t="n"/>
      <c r="C37" s="126" t="n"/>
      <c r="D37" s="126" t="n"/>
      <c r="E37" s="124" t="n"/>
      <c r="F37" s="101" t="n"/>
      <c r="G37" s="101" t="n"/>
      <c r="H37" s="107" t="n"/>
      <c r="I37" s="112" t="n"/>
      <c r="J37" s="118" t="n"/>
      <c r="K37" s="38" t="n"/>
      <c r="M37" s="38" t="n"/>
      <c r="N37" s="38" t="n"/>
    </row>
    <row r="38" ht="20.1" customHeight="1" s="240">
      <c r="B38" s="122" t="n"/>
      <c r="C38" s="126" t="n"/>
      <c r="D38" s="126" t="n"/>
      <c r="E38" s="124" t="n"/>
      <c r="F38" s="101" t="n"/>
      <c r="G38" s="101" t="n"/>
      <c r="H38" s="107" t="n"/>
      <c r="I38" s="112" t="n"/>
      <c r="J38" s="118" t="n"/>
      <c r="K38" s="38" t="n"/>
      <c r="M38" s="38" t="n"/>
      <c r="N38" s="38" t="n"/>
    </row>
    <row r="39" ht="20.1" customHeight="1" s="240" thickBot="1">
      <c r="B39" s="123" t="n"/>
      <c r="C39" s="127" t="n"/>
      <c r="D39" s="127" t="n"/>
      <c r="E39" s="125" t="n"/>
      <c r="F39" s="103" t="n"/>
      <c r="G39" s="103" t="n"/>
      <c r="H39" s="108" t="n"/>
      <c r="I39" s="113" t="n"/>
      <c r="J39" s="119" t="n"/>
      <c r="K39" s="38" t="n"/>
      <c r="M39" s="38" t="n"/>
      <c r="N39" s="38" t="n"/>
    </row>
  </sheetData>
  <conditionalFormatting sqref="H3:H39">
    <cfRule type="colorScale" priority="5">
      <colorScale>
        <cfvo type="min"/>
        <cfvo type="max"/>
        <color theme="0"/>
        <color theme="8" tint="0.3999755851924192"/>
      </colorScale>
    </cfRule>
  </conditionalFormatting>
  <conditionalFormatting sqref="I3:I39">
    <cfRule type="containsText" priority="1" operator="containsText" dxfId="3" text="Not Started">
      <formula>NOT(ISERROR(SEARCH("Not Started",I3)))</formula>
    </cfRule>
    <cfRule type="containsText" priority="2" operator="containsText" dxfId="2" text="In Progress">
      <formula>NOT(ISERROR(SEARCH("In Progress",I3)))</formula>
    </cfRule>
    <cfRule type="containsText" priority="3" operator="containsText" dxfId="1" text="Overdue">
      <formula>NOT(ISERROR(SEARCH("Overdue",I3)))</formula>
    </cfRule>
    <cfRule type="containsText" priority="4" operator="containsText" dxfId="0" text="Complete">
      <formula>NOT(ISERROR(SEARCH("Complete",I3)))</formula>
    </cfRule>
  </conditionalFormatting>
  <conditionalFormatting sqref="N3:N10">
    <cfRule type="colorScale" priority="7">
      <colorScale>
        <cfvo type="min"/>
        <cfvo type="max"/>
        <color theme="0"/>
        <color theme="8" tint="0.3999755851924192"/>
      </colorScale>
    </cfRule>
  </conditionalFormatting>
  <dataValidations count="2">
    <dataValidation sqref="H3:H39" showDropDown="0" showInputMessage="1" showErrorMessage="1" allowBlank="0" type="list">
      <formula1>$N$3:$N$10</formula1>
    </dataValidation>
    <dataValidation sqref="I3:I39" showDropDown="0" showInputMessage="1" showErrorMessage="1" allowBlank="0" type="list">
      <formula1>$L$3:$L$6</formula1>
    </dataValidation>
  </dataValidations>
  <pageMargins left="0.3" right="0.3" top="0.3" bottom="0.3" header="0" footer="0"/>
  <pageSetup orientation="landscape" scale="53" fitToHeight="0" horizontalDpi="0" verticalDpi="0"/>
</worksheet>
</file>

<file path=xl/worksheets/sheet10.xml><?xml version="1.0" encoding="utf-8"?>
<worksheet xmlns="http://schemas.openxmlformats.org/spreadsheetml/2006/main">
  <sheetPr>
    <tabColor theme="3" tint="0.7999816888943144"/>
    <outlinePr summaryBelow="1" summaryRight="1"/>
    <pageSetUpPr fitToPage="1"/>
  </sheetPr>
  <dimension ref="A1:F39"/>
  <sheetViews>
    <sheetView showGridLines="0" workbookViewId="0">
      <selection activeCell="B3" sqref="B3"/>
    </sheetView>
  </sheetViews>
  <sheetFormatPr baseColWidth="10" defaultColWidth="11.125" defaultRowHeight="15.75"/>
  <cols>
    <col width="3.25" customWidth="1" style="240" min="1" max="1"/>
    <col width="24" customWidth="1" style="240" min="2" max="2"/>
    <col width="65.875" customWidth="1" style="240" min="3" max="3"/>
    <col width="24" customWidth="1" style="240" min="4" max="4"/>
    <col width="13.875" customWidth="1" style="240" min="5" max="5"/>
    <col width="3.25" customWidth="1" style="240" min="6" max="6"/>
  </cols>
  <sheetData>
    <row r="1" ht="35.1" customHeight="1" s="240" thickBot="1">
      <c r="B1" s="106" t="inlineStr">
        <is>
          <t>HISTORIAS DE USUARIO o TAREAS</t>
        </is>
      </c>
      <c r="C1" s="37" t="n"/>
      <c r="D1" s="37" t="n"/>
      <c r="E1" s="37" t="n"/>
      <c r="F1" s="15" t="n"/>
    </row>
    <row r="2" ht="20.1" customHeight="1" s="240">
      <c r="B2" s="128" t="inlineStr">
        <is>
          <t>TÍTULO DE LA TAREA</t>
        </is>
      </c>
      <c r="C2" s="128" t="inlineStr">
        <is>
          <t>DESCRIPCIÓN DE LA TAREA</t>
        </is>
      </c>
      <c r="D2" s="129" t="inlineStr">
        <is>
          <t>AÑADIDO POR</t>
        </is>
      </c>
      <c r="E2" s="130" t="inlineStr">
        <is>
          <t>FECHA AÑADIDA</t>
        </is>
      </c>
    </row>
    <row r="3" ht="20.1" customHeight="1" s="240">
      <c r="B3" s="100" t="n"/>
      <c r="C3" s="100" t="n"/>
      <c r="D3" s="101" t="n"/>
      <c r="E3" s="104" t="n"/>
    </row>
    <row r="4" ht="20.1" customHeight="1" s="240">
      <c r="B4" s="100" t="n"/>
      <c r="C4" s="100" t="n"/>
      <c r="D4" s="101" t="n"/>
      <c r="E4" s="104" t="n"/>
    </row>
    <row r="5" ht="20.1" customHeight="1" s="240">
      <c r="B5" s="100" t="n"/>
      <c r="C5" s="100" t="n"/>
      <c r="D5" s="101" t="n"/>
      <c r="E5" s="104" t="n"/>
    </row>
    <row r="6" ht="20.1" customHeight="1" s="240">
      <c r="B6" s="100" t="n"/>
      <c r="C6" s="100" t="n"/>
      <c r="D6" s="101" t="n"/>
      <c r="E6" s="104" t="n"/>
    </row>
    <row r="7" ht="20.1" customHeight="1" s="240">
      <c r="B7" s="100" t="n"/>
      <c r="C7" s="100" t="n"/>
      <c r="D7" s="101" t="n"/>
      <c r="E7" s="104" t="n"/>
    </row>
    <row r="8" ht="20.1" customHeight="1" s="240">
      <c r="B8" s="100" t="n"/>
      <c r="C8" s="100" t="n"/>
      <c r="D8" s="101" t="n"/>
      <c r="E8" s="104" t="n"/>
    </row>
    <row r="9" ht="20.1" customHeight="1" s="240">
      <c r="B9" s="100" t="n"/>
      <c r="C9" s="100" t="n"/>
      <c r="D9" s="101" t="n"/>
      <c r="E9" s="104" t="n"/>
    </row>
    <row r="10" ht="20.1" customHeight="1" s="240">
      <c r="B10" s="100" t="n"/>
      <c r="C10" s="100" t="n"/>
      <c r="D10" s="101" t="n"/>
      <c r="E10" s="104" t="n"/>
    </row>
    <row r="11" ht="20.1" customHeight="1" s="240">
      <c r="B11" s="100" t="n"/>
      <c r="C11" s="100" t="n"/>
      <c r="D11" s="101" t="n"/>
      <c r="E11" s="104" t="n"/>
    </row>
    <row r="12" ht="20.1" customHeight="1" s="240">
      <c r="B12" s="100" t="n"/>
      <c r="C12" s="100" t="n"/>
      <c r="D12" s="101" t="n"/>
      <c r="E12" s="104" t="n"/>
    </row>
    <row r="13" ht="20.1" customHeight="1" s="240">
      <c r="B13" s="100" t="n"/>
      <c r="C13" s="100" t="n"/>
      <c r="D13" s="101" t="n"/>
      <c r="E13" s="104" t="n"/>
    </row>
    <row r="14" ht="20.1" customHeight="1" s="240">
      <c r="B14" s="100" t="n"/>
      <c r="C14" s="100" t="n"/>
      <c r="D14" s="101" t="n"/>
      <c r="E14" s="104" t="n"/>
    </row>
    <row r="15" ht="20.1" customHeight="1" s="240">
      <c r="B15" s="100" t="n"/>
      <c r="C15" s="100" t="n"/>
      <c r="D15" s="101" t="n"/>
      <c r="E15" s="104" t="n"/>
    </row>
    <row r="16" ht="20.1" customHeight="1" s="240">
      <c r="B16" s="100" t="n"/>
      <c r="C16" s="100" t="n"/>
      <c r="D16" s="101" t="n"/>
      <c r="E16" s="104" t="n"/>
    </row>
    <row r="17" ht="20.1" customHeight="1" s="240">
      <c r="B17" s="100" t="n"/>
      <c r="C17" s="100" t="n"/>
      <c r="D17" s="101" t="n"/>
      <c r="E17" s="104" t="n"/>
    </row>
    <row r="18" ht="20.1" customHeight="1" s="240">
      <c r="B18" s="100" t="n"/>
      <c r="C18" s="100" t="n"/>
      <c r="D18" s="101" t="n"/>
      <c r="E18" s="104" t="n"/>
    </row>
    <row r="19" ht="20.1" customHeight="1" s="240">
      <c r="B19" s="100" t="n"/>
      <c r="C19" s="100" t="n"/>
      <c r="D19" s="101" t="n"/>
      <c r="E19" s="104" t="n"/>
    </row>
    <row r="20" ht="20.1" customHeight="1" s="240">
      <c r="B20" s="100" t="n"/>
      <c r="C20" s="100" t="n"/>
      <c r="D20" s="101" t="n"/>
      <c r="E20" s="104" t="n"/>
    </row>
    <row r="21" ht="20.1" customHeight="1" s="240">
      <c r="B21" s="100" t="n"/>
      <c r="C21" s="100" t="n"/>
      <c r="D21" s="101" t="n"/>
      <c r="E21" s="104" t="n"/>
    </row>
    <row r="22" ht="20.1" customHeight="1" s="240">
      <c r="B22" s="100" t="n"/>
      <c r="C22" s="100" t="n"/>
      <c r="D22" s="101" t="n"/>
      <c r="E22" s="104" t="n"/>
    </row>
    <row r="23" ht="20.1" customHeight="1" s="240">
      <c r="B23" s="100" t="n"/>
      <c r="C23" s="100" t="n"/>
      <c r="D23" s="101" t="n"/>
      <c r="E23" s="104" t="n"/>
    </row>
    <row r="24" ht="20.1" customHeight="1" s="240">
      <c r="B24" s="100" t="n"/>
      <c r="C24" s="100" t="n"/>
      <c r="D24" s="101" t="n"/>
      <c r="E24" s="104" t="n"/>
    </row>
    <row r="25" ht="20.1" customHeight="1" s="240">
      <c r="B25" s="100" t="n"/>
      <c r="C25" s="100" t="n"/>
      <c r="D25" s="101" t="n"/>
      <c r="E25" s="104" t="n"/>
    </row>
    <row r="26" ht="20.1" customHeight="1" s="240">
      <c r="B26" s="100" t="n"/>
      <c r="C26" s="100" t="n"/>
      <c r="D26" s="101" t="n"/>
      <c r="E26" s="104" t="n"/>
    </row>
    <row r="27" ht="20.1" customHeight="1" s="240">
      <c r="B27" s="100" t="n"/>
      <c r="C27" s="100" t="n"/>
      <c r="D27" s="101" t="n"/>
      <c r="E27" s="104" t="n"/>
    </row>
    <row r="28" ht="20.1" customHeight="1" s="240">
      <c r="B28" s="100" t="n"/>
      <c r="C28" s="100" t="n"/>
      <c r="D28" s="101" t="n"/>
      <c r="E28" s="104" t="n"/>
    </row>
    <row r="29" ht="20.1" customHeight="1" s="240">
      <c r="B29" s="100" t="n"/>
      <c r="C29" s="100" t="n"/>
      <c r="D29" s="101" t="n"/>
      <c r="E29" s="104" t="n"/>
    </row>
    <row r="30" ht="20.1" customHeight="1" s="240">
      <c r="B30" s="100" t="n"/>
      <c r="C30" s="100" t="n"/>
      <c r="D30" s="101" t="n"/>
      <c r="E30" s="104" t="n"/>
    </row>
    <row r="31" ht="20.1" customHeight="1" s="240">
      <c r="B31" s="100" t="n"/>
      <c r="C31" s="100" t="n"/>
      <c r="D31" s="101" t="n"/>
      <c r="E31" s="104" t="n"/>
    </row>
    <row r="32" ht="20.1" customHeight="1" s="240">
      <c r="B32" s="100" t="n"/>
      <c r="C32" s="100" t="n"/>
      <c r="D32" s="101" t="n"/>
      <c r="E32" s="104" t="n"/>
    </row>
    <row r="33" ht="20.1" customHeight="1" s="240">
      <c r="B33" s="100" t="n"/>
      <c r="C33" s="100" t="n"/>
      <c r="D33" s="101" t="n"/>
      <c r="E33" s="104" t="n"/>
    </row>
    <row r="34" ht="20.1" customHeight="1" s="240">
      <c r="B34" s="100" t="n"/>
      <c r="C34" s="100" t="n"/>
      <c r="D34" s="101" t="n"/>
      <c r="E34" s="104" t="n"/>
    </row>
    <row r="35" ht="20.1" customHeight="1" s="240">
      <c r="B35" s="100" t="n"/>
      <c r="C35" s="100" t="n"/>
      <c r="D35" s="101" t="n"/>
      <c r="E35" s="104" t="n"/>
    </row>
    <row r="36" ht="20.1" customHeight="1" s="240">
      <c r="B36" s="100" t="n"/>
      <c r="C36" s="100" t="n"/>
      <c r="D36" s="101" t="n"/>
      <c r="E36" s="104" t="n"/>
    </row>
    <row r="37" ht="20.1" customHeight="1" s="240">
      <c r="B37" s="100" t="n"/>
      <c r="C37" s="100" t="n"/>
      <c r="D37" s="101" t="n"/>
      <c r="E37" s="104" t="n"/>
    </row>
    <row r="38" ht="20.1" customHeight="1" s="240">
      <c r="B38" s="100" t="n"/>
      <c r="C38" s="100" t="n"/>
      <c r="D38" s="101" t="n"/>
      <c r="E38" s="104" t="n"/>
    </row>
    <row r="39" ht="20.1" customHeight="1" s="240" thickBot="1">
      <c r="B39" s="102" t="n"/>
      <c r="C39" s="102" t="n"/>
      <c r="D39" s="103" t="n"/>
      <c r="E39" s="105" t="n"/>
    </row>
  </sheetData>
  <pageMargins left="0.3" right="0.3" top="0.3" bottom="0.3" header="0" footer="0"/>
  <pageSetup orientation="landscape" scale="97" fitToHeight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2016-03-21T16:06:55Z</dcterms:created>
  <dcterms:modified xmlns:dcterms="http://purl.org/dc/terms/" xmlns:xsi="http://www.w3.org/2001/XMLSchema-instance" xsi:type="dcterms:W3CDTF">2026-06-25T16:13:28Z</dcterms:modified>
  <cp:lastModifiedBy>ACER</cp:lastModifiedBy>
</cp:coreProperties>
</file>